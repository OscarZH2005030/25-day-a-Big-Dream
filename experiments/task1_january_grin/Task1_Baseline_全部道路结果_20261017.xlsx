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327061c2e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道路对比" sheetId="1" r:id="R5d81fec53fe74dd5"/>
    <x:sheet xmlns:r="http://schemas.openxmlformats.org/officeDocument/2006/relationships" name="道路方法明细" sheetId="2" r:id="R54dbb376e8414428"/>
    <x:sheet xmlns:r="http://schemas.openxmlformats.org/officeDocument/2006/relationships" name="R1-R3明细" sheetId="3" r:id="Rcdb65c8b2f71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000"/>
    <x:numFmt numFmtId="202" formatCode="0"/>
    <x:numFmt numFmtId="203" formatCode="+0.000000;-0.000000;0.000000"/>
    <x:numFmt numFmtId="204" formatCode="#,##0"/>
    <x:numFmt numFmtId="205" formatCode="yyyy-mm-dd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203864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203864"/>
      <x:name val="Arial"/>
    </x:font>
    <x:font>
      <x:i/>
      <x:sz val="10"/>
      <x:color rgb="FF64748B"/>
      <x:name val="Arial"/>
    </x:font>
    <x:font>
      <x:b/>
      <x:sz val="12"/>
      <x:color rgb="FF20386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AD4E1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205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8">
    <x:dxf>
      <x:font>
        <x:color rgb="FF166534"/>
      </x:font>
      <x:fill>
        <x:patternFill patternType="solid">
          <x:bgColor rgb="FFE4F0E9"/>
        </x:patternFill>
      </x:fill>
    </x:dxf>
    <x:dxf>
      <x:font>
        <x:color rgb="FFA12C35"/>
      </x:font>
      <x:fill>
        <x:patternFill patternType="solid">
          <x:bgColor rgb="FFFCEBEC"/>
        </x:patternFill>
      </x:fill>
    </x:dxf>
    <x:dxf>
      <x:font>
        <x:b/>
        <x:color rgb="FF166534"/>
      </x:font>
      <x:fill>
        <x:patternFill patternType="solid">
          <x:bgColor rgb="FFE4F0E9"/>
        </x:patternFill>
      </x:fill>
    </x:dxf>
    <x:dxf>
      <x:font>
        <x:color rgb="FF166534"/>
      </x:font>
      <x:fill>
        <x:patternFill patternType="solid">
          <x:bgColor rgb="FFE4F0E9"/>
        </x:patternFill>
      </x:fill>
    </x:dxf>
    <x:dxf>
      <x:font>
        <x:color rgb="FFA12C35"/>
      </x:font>
      <x:fill>
        <x:patternFill patternType="solid">
          <x:bgColor rgb="FFFCEBEC"/>
        </x:patternFill>
      </x:fill>
    </x:dxf>
    <x:dxf>
      <x:font>
        <x:b/>
        <x:color rgb="FF166534"/>
      </x:font>
      <x:fill>
        <x:patternFill patternType="solid">
          <x:bgColor rgb="FFE4F0E9"/>
        </x:patternFill>
      </x:fill>
    </x:dxf>
    <x:dxf>
      <x:font>
        <x:color rgb="FF166534"/>
      </x:font>
      <x:fill>
        <x:patternFill patternType="solid">
          <x:bgColor rgb="FFE4F0E9"/>
        </x:patternFill>
      </x:fill>
    </x:dxf>
    <x:dxf>
      <x:font>
        <x:color rgb="FFA12C35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5d5560e0d4981" /><Relationship Type="http://schemas.openxmlformats.org/officeDocument/2006/relationships/theme" Target="/xl/theme/theme1.xml" Id="R2b6b0c1be4a4491e" /><Relationship Type="http://schemas.openxmlformats.org/officeDocument/2006/relationships/sharedStrings" Target="/xl/sharedStrings.xml" Id="R3ef4d19b8b7c464b" /><Relationship Type="http://schemas.openxmlformats.org/officeDocument/2006/relationships/worksheet" Target="/xl/worksheets/sheet1.xml" Id="R5d81fec53fe74dd5" /><Relationship Type="http://schemas.openxmlformats.org/officeDocument/2006/relationships/worksheet" Target="/xl/worksheets/sheet2.xml" Id="R54dbb376e8414428" /><Relationship Type="http://schemas.openxmlformats.org/officeDocument/2006/relationships/worksheet" Target="/xl/worksheets/sheet3.xml" Id="Rcdb65c8b2f714b10" /></Relationships>
</file>

<file path=xl/tables/table1.xml><?xml version="1.0" encoding="utf-8"?>
<x:table xmlns:x="http://schemas.openxmlformats.org/spreadsheetml/2006/main" id="1" name="PanelMetrics" displayName="PanelMetrics" ref="A6:K46" headerRowCount="1" totalsRowCount="0" totalsRowShown="0">
  <x:autoFilter ref="A6:K46"/>
  <x:tableColumns count="11">
    <x:tableColumn id="1" name="道路方向"/>
    <x:tableColumn id="2" name="走廊家族"/>
    <x:tableColumn id="3" name="方法"/>
    <x:tableColumn id="4" name="得分 S_state"/>
    <x:tableColumn id="5" name="速度 RMSE&#10;(km/h)"/>
    <x:tableColumn id="6" name="流量 RMSE&#10;(veh/h/lane)"/>
    <x:tableColumn id="7" name="目标数"/>
    <x:tableColumn id="8" name="相对残差 ΔS"/>
    <x:tableColumn id="9" name="相对直接 ΔS"/>
    <x:tableColumn id="10" name="相对等权 ΔS"/>
    <x:tableColumn id="11" name="方法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meMetrics" displayName="RegimeMetrics" ref="A6:J126" headerRowCount="1" totalsRowCount="0" totalsRowShown="0">
  <x:autoFilter ref="A6:J126"/>
  <x:tableColumns count="10">
    <x:tableColumn id="1" name="道路方向"/>
    <x:tableColumn id="2" name="走廊家族"/>
    <x:tableColumn id="3" name="Regime"/>
    <x:tableColumn id="4" name="方法"/>
    <x:tableColumn id="5" name="目标数 n"/>
    <x:tableColumn id="6" name="速度 RMSE&#10;(km/h)"/>
    <x:tableColumn id="7" name="流量 RMSE&#10;(veh/h/lane)"/>
    <x:tableColumn id="8" name="速度得分"/>
    <x:tableColumn id="9" name="流量得分"/>
    <x:tableColumn id="10" name="综合得分 S_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a25b9322c7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a8f1e5ce9843f6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8" hidden="0" customWidth="1"/>
    <x:col min="4" max="4" width="23" hidden="0" customWidth="1"/>
    <x:col min="5" max="5" width="18" hidden="0" customWidth="1"/>
    <x:col min="6" max="6" width="18" hidden="0" customWidth="1"/>
    <x:col min="7" max="7" width="23" hidden="0" customWidth="1"/>
    <x:col min="8" max="8" width="1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Task 1 全部道路 baseline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6" t="str">
        <x:v>实验 all_baseline_resume_20261017_011520_258735</x:v>
      </x:c>
      <x:c r="B4" s="3"/>
      <x:c r="C4" s="3"/>
      <x:c r="D4" s="3"/>
      <x:c r="E4" s="3"/>
      <x:c r="F4" s="3"/>
      <x:c r="G4" s="3"/>
      <x:c r="H4" s="3"/>
    </x:row>
    <x:row r="5" ht="25" customHeight="1">
      <x:c r="A5" s="6" t="str">
        <x:v>5 条走廊，10 个方向，3,645,345 个评测目标。</x:v>
      </x:c>
      <x:c r="B5" s="3"/>
      <x:c r="C5" s="3"/>
      <x:c r="D5" s="3"/>
      <x:c r="E5" s="3"/>
      <x:c r="F5" s="3"/>
      <x:c r="G5" s="3"/>
      <x:c r="H5" s="3"/>
    </x:row>
    <x:row r="6" ht="25" customHeight="1">
      <x:c r="A6" s="3"/>
      <x:c r="B6" s="3"/>
      <x:c r="C6" s="3"/>
      <x:c r="D6" s="3"/>
      <x:c r="E6" s="3"/>
      <x:c r="F6" s="3"/>
      <x:c r="G6" s="3"/>
      <x:c r="H6" s="3"/>
    </x:row>
    <x:row r="7" ht="25" customHeight="1">
      <x:c r="A7" s="3"/>
      <x:c r="B7" s="3"/>
      <x:c r="C7" s="3"/>
      <x:c r="D7" s="3"/>
      <x:c r="E7" s="3"/>
      <x:c r="F7" s="3"/>
      <x:c r="G7" s="3"/>
      <x:c r="H7" s="3"/>
    </x:row>
    <x:row r="8" ht="40" customHeight="1">
      <x:c r="A8" s="10" t="str">
        <x:v>方法</x:v>
      </x:c>
      <x:c r="B8" s="10" t="str">
        <x:v>整体得分</x:v>
      </x:c>
      <x:c r="C8" s="10" t="str">
        <x:v>速度 RMSE
(km/h)</x:v>
      </x:c>
      <x:c r="D8" s="10" t="str">
        <x:v>流量 RMSE
(veh/h/lane)</x:v>
      </x:c>
      <x:c r="E8" s="10" t="str">
        <x:v>相对残差 ΔS</x:v>
      </x:c>
      <x:c r="F8" s="10" t="str">
        <x:v>相对直接 ΔS</x:v>
      </x:c>
      <x:c r="G8" s="10" t="str">
        <x:v>相对等权 ΔS</x:v>
      </x:c>
      <x:c r="H8" s="10" t="str">
        <x:v>方向数</x:v>
      </x:c>
    </x:row>
    <x:row r="9" ht="25" customHeight="1">
      <x:c r="A9" s="3" t="str">
        <x:v>多跳残差</x:v>
      </x:c>
      <x:c r="B9" s="14" t="n">
        <x:f>AVERAGEIFS('道路方法明细'!$D$7:$D$46,'道路方法明细'!$C$7:$C$46,$A9)</x:f>
        <x:v>0.9217144597779109</x:v>
      </x:c>
      <x:c r="C9" s="15" t="n">
        <x:f>AVERAGEIFS('道路方法明细'!$E$7:$E$46,'道路方法明细'!$C$7:$C$46,$A9)</x:f>
        <x:v>2.2407335339831898</x:v>
      </x:c>
      <x:c r="D9" s="15" t="n">
        <x:f>AVERAGEIFS('道路方法明细'!$F$7:$F$46,'道路方法明细'!$C$7:$C$46,$A9)</x:f>
        <x:v>38.98134246267662</x:v>
      </x:c>
      <x:c r="E9" s="18" t="n">
        <x:f>B9-$B$9</x:f>
        <x:v>0</x:v>
      </x:c>
      <x:c r="F9" s="18" t="n">
        <x:f>B9-$B$10</x:f>
        <x:v>0.0002838669828247875</x:v>
      </x:c>
      <x:c r="G9" s="18" t="n">
        <x:f>B9-$B$11</x:f>
        <x:v>-0.001053309992130269</x:v>
      </x:c>
      <x:c r="H9" s="17" t="n">
        <x:f>COUNTIFS('道路方法明细'!$C$7:$C$46,$A9)</x:f>
        <x:v>10</x:v>
      </x:c>
    </x:row>
    <x:row r="10" ht="25" customHeight="1">
      <x:c r="A10" s="3" t="str">
        <x:v>多跳直接</x:v>
      </x:c>
      <x:c r="B10" s="14" t="n">
        <x:f>AVERAGEIFS('道路方法明细'!$D$7:$D$46,'道路方法明细'!$C$7:$C$46,$A10)</x:f>
        <x:v>0.9214305927950861</x:v>
      </x:c>
      <x:c r="C10" s="15" t="n">
        <x:f>AVERAGEIFS('道路方法明细'!$E$7:$E$46,'道路方法明细'!$C$7:$C$46,$A10)</x:f>
        <x:v>2.2330898188363912</x:v>
      </x:c>
      <x:c r="D10" s="15" t="n">
        <x:f>AVERAGEIFS('道路方法明细'!$F$7:$F$46,'道路方法明细'!$C$7:$C$46,$A10)</x:f>
        <x:v>39.56695711049717</x:v>
      </x:c>
      <x:c r="E10" s="18" t="n">
        <x:f>B10-$B$9</x:f>
        <x:v>-0.0002838669828247875</x:v>
      </x:c>
      <x:c r="F10" s="18" t="n">
        <x:f>B10-$B$10</x:f>
        <x:v>0</x:v>
      </x:c>
      <x:c r="G10" s="18" t="n">
        <x:f>B10-$B$11</x:f>
        <x:v>-0.0013371769749550566</x:v>
      </x:c>
      <x:c r="H10" s="17" t="n">
        <x:f>COUNTIFS('道路方法明细'!$C$7:$C$46,$A10)</x:f>
        <x:v>10</x:v>
      </x:c>
    </x:row>
    <x:row r="11" ht="25" customHeight="1">
      <x:c r="A11" s="3" t="str">
        <x:v>50%等权融合</x:v>
      </x:c>
      <x:c r="B11" s="14" t="n">
        <x:f>AVERAGEIFS('道路方法明细'!$D$7:$D$46,'道路方法明细'!$C$7:$C$46,$A11)</x:f>
        <x:v>0.9227677697700412</x:v>
      </x:c>
      <x:c r="C11" s="15" t="n">
        <x:f>AVERAGEIFS('道路方法明细'!$E$7:$E$46,'道路方法明细'!$C$7:$C$46,$A11)</x:f>
        <x:v>2.1962391281463494</x:v>
      </x:c>
      <x:c r="D11" s="15" t="n">
        <x:f>AVERAGEIFS('道路方法明细'!$F$7:$F$46,'道路方法明细'!$C$7:$C$46,$A11)</x:f>
        <x:v>38.86104138521459</x:v>
      </x:c>
      <x:c r="E11" s="18" t="n">
        <x:f>B11-$B$9</x:f>
        <x:v>0.001053309992130269</x:v>
      </x:c>
      <x:c r="F11" s="18" t="n">
        <x:f>B11-$B$10</x:f>
        <x:v>0.0013371769749550566</x:v>
      </x:c>
      <x:c r="G11" s="18" t="n">
        <x:f>B11-$B$11</x:f>
        <x:v>0</x:v>
      </x:c>
      <x:c r="H11" s="17" t="n">
        <x:f>COUNTIFS('道路方法明细'!$C$7:$C$46,$A11)</x:f>
        <x:v>10</x:v>
      </x:c>
    </x:row>
    <x:row r="12" ht="25" customHeight="1">
      <x:c r="A12" s="3" t="str">
        <x:v>60分钟切换融合</x:v>
      </x:c>
      <x:c r="B12" s="14" t="n">
        <x:f>AVERAGEIFS('道路方法明细'!$D$7:$D$46,'道路方法明细'!$C$7:$C$46,$A12)</x:f>
        <x:v>0.9228490305267275</x:v>
      </x:c>
      <x:c r="C12" s="15" t="n">
        <x:f>AVERAGEIFS('道路方法明细'!$E$7:$E$46,'道路方法明细'!$C$7:$C$46,$A12)</x:f>
        <x:v>2.1927839968567726</x:v>
      </x:c>
      <x:c r="D12" s="15" t="n">
        <x:f>AVERAGEIFS('道路方法明细'!$F$7:$F$46,'道路方法明细'!$C$7:$C$46,$A12)</x:f>
        <x:v>38.85239366239068</x:v>
      </x:c>
      <x:c r="E12" s="18" t="n">
        <x:f>B12-$B$9</x:f>
        <x:v>0.0011345707488166212</x:v>
      </x:c>
      <x:c r="F12" s="18" t="n">
        <x:f>B12-$B$10</x:f>
        <x:v>0.0014184377316414087</x:v>
      </x:c>
      <x:c r="G12" s="18" t="n">
        <x:f>B12-$B$11</x:f>
        <x:v>0.00008126075668635213</x:v>
      </x:c>
      <x:c r="H12" s="17" t="n">
        <x:f>COUNTIFS('道路方法明细'!$C$7:$C$46,$A12)</x:f>
        <x:v>10</x:v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19" t="str">
        <x:v>本次最高分方法</x:v>
      </x:c>
      <x:c r="B14" s="19" t="str">
        <x:f>INDEX(A9:A12,MATCH(MAX(B9:B12),B9:B12,0))</x:f>
        <x:v>60分钟切换融合</x:v>
      </x:c>
      <x:c r="C14" s="19"/>
      <x:c r="D14" s="19" t="str">
        <x:v>最高分</x:v>
      </x:c>
      <x:c r="E14" s="20" t="n">
        <x:f>MAX(B9:B12)</x:f>
        <x:v>0.9228490305267275</x:v>
      </x:c>
      <x:c r="F14" s="19"/>
      <x:c r="G14" s="19"/>
      <x:c r="H14" s="19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</x:row>
    <x:row r="16" ht="25" customHeight="1">
      <x:c r="A16" s="21" t="str">
        <x:v>各 regime、方向、走廊家族依次等权聚合。本次每个家族均有两个方向。</x:v>
      </x:c>
      <x:c r="B16" s="3"/>
      <x:c r="C16" s="3"/>
      <x:c r="D16" s="3"/>
      <x:c r="E16" s="3"/>
      <x:c r="F16" s="3"/>
      <x:c r="G16" s="3"/>
      <x:c r="H16" s="3"/>
    </x:row>
    <x:row r="17" ht="25" customHeight="1">
      <x:c r="A17" s="21" t="str">
        <x:v>RMSE 为描述性宏平均；得分越大、RMSE 越小越好。ΔS 为分数差，不是百分比。</x:v>
      </x:c>
      <x:c r="B17" s="3"/>
      <x:c r="C17" s="3"/>
      <x:c r="D17" s="3"/>
      <x:c r="E17" s="3"/>
      <x:c r="F17" s="3"/>
      <x:c r="G17" s="3"/>
      <x:c r="H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</x:row>
    <x:row r="19" ht="25" customHeight="1">
      <x:c r="A19" s="22" t="str">
        <x:v>各道路方向对比</x:v>
      </x:c>
      <x:c r="B19" s="3"/>
      <x:c r="C19" s="3"/>
      <x:c r="D19" s="3"/>
      <x:c r="E19" s="3"/>
      <x:c r="F19" s="3"/>
      <x:c r="G19" s="3"/>
      <x:c r="H19" s="3"/>
    </x:row>
    <x:row r="20" ht="40" customHeight="1">
      <x:c r="A20" s="10" t="str">
        <x:v>道路方向</x:v>
      </x:c>
      <x:c r="B20" s="10" t="str">
        <x:v>多跳残差</x:v>
      </x:c>
      <x:c r="C20" s="10" t="str">
        <x:v>多跳直接</x:v>
      </x:c>
      <x:c r="D20" s="10" t="str">
        <x:v>50%等权</x:v>
      </x:c>
      <x:c r="E20" s="10" t="str">
        <x:v>60分钟切换</x:v>
      </x:c>
      <x:c r="F20" s="10" t="str">
        <x:v>切换 − 等权 ΔS</x:v>
      </x:c>
      <x:c r="G20" s="10" t="str">
        <x:v>本次最高分方法</x:v>
      </x:c>
      <x:c r="H20" s="10" t="str">
        <x:v>目标数</x:v>
      </x:c>
    </x:row>
    <x:row r="21" ht="25" customHeight="1">
      <x:c r="A21" s="3" t="str">
        <x:v>D7_I10_E</x:v>
      </x:c>
      <x:c r="B21" s="14" t="n">
        <x:f>SUMIFS('道路方法明细'!$D$7:$D$46,'道路方法明细'!$A$7:$A$46,$A21,'道路方法明细'!$K$7:$K$46,"B2_multihop")</x:f>
        <x:v>0.9226907375777862</x:v>
      </x:c>
      <x:c r="C21" s="14" t="n">
        <x:f>SUMIFS('道路方法明细'!$D$7:$D$46,'道路方法明细'!$A$7:$A$46,$A21,'道路方法明细'!$K$7:$K$46,"Direct_multihop")</x:f>
        <x:v>0.9191400559460252</x:v>
      </x:c>
      <x:c r="D21" s="14" t="n">
        <x:f>SUMIFS('道路方法明细'!$D$7:$D$46,'道路方法明细'!$A$7:$A$46,$A21,'道路方法明细'!$K$7:$K$46,"Fusion_mean50")</x:f>
        <x:v>0.9230575583132143</x:v>
      </x:c>
      <x:c r="E21" s="14" t="n">
        <x:f>SUMIFS('道路方法明细'!$D$7:$D$46,'道路方法明细'!$A$7:$A$46,$A21,'道路方法明细'!$K$7:$K$46,"Fusion_gap60mean")</x:f>
        <x:v>0.9229344221497184</x:v>
      </x:c>
      <x:c r="F21" s="18" t="n">
        <x:f>E21-D21</x:f>
        <x:v>-0.00012313616349590717</x:v>
      </x:c>
      <x:c r="G21" s="3" t="str">
        <x:f>INDEX($B$20:$E$20,1,MATCH(MAX(B21:E21),B21:E21,0))</x:f>
        <x:v>50%等权</x:v>
      </x:c>
      <x:c r="H21" s="23" t="n">
        <x:f>SUMIFS('道路方法明细'!$G$7:$G$46,'道路方法明细'!$A$7:$A$46,$A21,'道路方法明细'!$K$7:$K$46,"Fusion_mean50")</x:f>
        <x:v>305115</x:v>
      </x:c>
    </x:row>
    <x:row r="22" ht="25" customHeight="1">
      <x:c r="A22" s="3" t="str">
        <x:v>D7_I10_W</x:v>
      </x:c>
      <x:c r="B22" s="14" t="n">
        <x:f>SUMIFS('道路方法明细'!$D$7:$D$46,'道路方法明细'!$A$7:$A$46,$A22,'道路方法明细'!$K$7:$K$46,"B2_multihop")</x:f>
        <x:v>0.9379924427030432</x:v>
      </x:c>
      <x:c r="C22" s="14" t="n">
        <x:f>SUMIFS('道路方法明细'!$D$7:$D$46,'道路方法明细'!$A$7:$A$46,$A22,'道路方法明细'!$K$7:$K$46,"Direct_multihop")</x:f>
        <x:v>0.9356927470144633</x:v>
      </x:c>
      <x:c r="D22" s="14" t="n">
        <x:f>SUMIFS('道路方法明细'!$D$7:$D$46,'道路方法明细'!$A$7:$A$46,$A22,'道路方法明细'!$K$7:$K$46,"Fusion_mean50")</x:f>
        <x:v>0.9380158856333924</x:v>
      </x:c>
      <x:c r="E22" s="14" t="n">
        <x:f>SUMIFS('道路方法明细'!$D$7:$D$46,'道路方法明细'!$A$7:$A$46,$A22,'道路方法明细'!$K$7:$K$46,"Fusion_gap60mean")</x:f>
        <x:v>0.9377886142503556</x:v>
      </x:c>
      <x:c r="F22" s="18" t="n">
        <x:f>E22-D22</x:f>
        <x:v>-0.00022727138303679784</x:v>
      </x:c>
      <x:c r="G22" s="3" t="str">
        <x:f>INDEX($B$20:$E$20,1,MATCH(MAX(B22:E22),B22:E22,0))</x:f>
        <x:v>50%等权</x:v>
      </x:c>
      <x:c r="H22" s="23" t="n">
        <x:f>SUMIFS('道路方法明细'!$G$7:$G$46,'道路方法明细'!$A$7:$A$46,$A22,'道路方法明细'!$K$7:$K$46,"Fusion_mean50")</x:f>
        <x:v>266746</x:v>
      </x:c>
    </x:row>
    <x:row r="23" ht="25" customHeight="1">
      <x:c r="A23" s="3" t="str">
        <x:v>D7_I210_E</x:v>
      </x:c>
      <x:c r="B23" s="14" t="n">
        <x:f>SUMIFS('道路方法明细'!$D$7:$D$46,'道路方法明细'!$A$7:$A$46,$A23,'道路方法明细'!$K$7:$K$46,"B2_multihop")</x:f>
        <x:v>0.9329763436022264</x:v>
      </x:c>
      <x:c r="C23" s="14" t="n">
        <x:f>SUMIFS('道路方法明细'!$D$7:$D$46,'道路方法明细'!$A$7:$A$46,$A23,'道路方法明细'!$K$7:$K$46,"Direct_multihop")</x:f>
        <x:v>0.9323826872095413</x:v>
      </x:c>
      <x:c r="D23" s="14" t="n">
        <x:f>SUMIFS('道路方法明细'!$D$7:$D$46,'道路方法明细'!$A$7:$A$46,$A23,'道路方法明细'!$K$7:$K$46,"Fusion_mean50")</x:f>
        <x:v>0.9337130758109989</x:v>
      </x:c>
      <x:c r="E23" s="14" t="n">
        <x:f>SUMIFS('道路方法明细'!$D$7:$D$46,'道路方法明细'!$A$7:$A$46,$A23,'道路方法明细'!$K$7:$K$46,"Fusion_gap60mean")</x:f>
        <x:v>0.9337907324830326</x:v>
      </x:c>
      <x:c r="F23" s="18" t="n">
        <x:f>E23-D23</x:f>
        <x:v>0.00007765667203363247</x:v>
      </x:c>
      <x:c r="G23" s="3" t="str">
        <x:f>INDEX($B$20:$E$20,1,MATCH(MAX(B23:E23),B23:E23,0))</x:f>
        <x:v>60分钟切换</x:v>
      </x:c>
      <x:c r="H23" s="23" t="n">
        <x:f>SUMIFS('道路方法明细'!$G$7:$G$46,'道路方法明细'!$A$7:$A$46,$A23,'道路方法明细'!$K$7:$K$46,"Fusion_mean50")</x:f>
        <x:v>738391</x:v>
      </x:c>
    </x:row>
    <x:row r="24" ht="25" customHeight="1">
      <x:c r="A24" s="3" t="str">
        <x:v>D7_I210_W</x:v>
      </x:c>
      <x:c r="B24" s="14" t="n">
        <x:f>SUMIFS('道路方法明细'!$D$7:$D$46,'道路方法明细'!$A$7:$A$46,$A24,'道路方法明细'!$K$7:$K$46,"B2_multihop")</x:f>
        <x:v>0.8995353633170181</x:v>
      </x:c>
      <x:c r="C24" s="14" t="n">
        <x:f>SUMIFS('道路方法明细'!$D$7:$D$46,'道路方法明细'!$A$7:$A$46,$A24,'道路方法明细'!$K$7:$K$46,"Direct_multihop")</x:f>
        <x:v>0.8998538968285229</x:v>
      </x:c>
      <x:c r="D24" s="14" t="n">
        <x:f>SUMIFS('道路方法明细'!$D$7:$D$46,'道路方法明细'!$A$7:$A$46,$A24,'道路方法明细'!$K$7:$K$46,"Fusion_mean50")</x:f>
        <x:v>0.9005376486446751</x:v>
      </x:c>
      <x:c r="E24" s="14" t="n">
        <x:f>SUMIFS('道路方法明细'!$D$7:$D$46,'道路方法明细'!$A$7:$A$46,$A24,'道路方法明细'!$K$7:$K$46,"Fusion_gap60mean")</x:f>
        <x:v>0.9007923699578703</x:v>
      </x:c>
      <x:c r="F24" s="18" t="n">
        <x:f>E24-D24</x:f>
        <x:v>0.0002547213131951498</x:v>
      </x:c>
      <x:c r="G24" s="3" t="str">
        <x:f>INDEX($B$20:$E$20,1,MATCH(MAX(B24:E24),B24:E24,0))</x:f>
        <x:v>60分钟切换</x:v>
      </x:c>
      <x:c r="H24" s="23" t="n">
        <x:f>SUMIFS('道路方法明细'!$G$7:$G$46,'道路方法明细'!$A$7:$A$46,$A24,'道路方法明细'!$K$7:$K$46,"Fusion_mean50")</x:f>
        <x:v>200923</x:v>
      </x:c>
    </x:row>
    <x:row r="25" ht="25" customHeight="1">
      <x:c r="A25" s="3" t="str">
        <x:v>D7_I405_N</x:v>
      </x:c>
      <x:c r="B25" s="14" t="n">
        <x:f>SUMIFS('道路方法明细'!$D$7:$D$46,'道路方法明细'!$A$7:$A$46,$A25,'道路方法明细'!$K$7:$K$46,"B2_multihop")</x:f>
        <x:v>0.9129941407742238</x:v>
      </x:c>
      <x:c r="C25" s="14" t="n">
        <x:f>SUMIFS('道路方法明细'!$D$7:$D$46,'道路方法明细'!$A$7:$A$46,$A25,'道路方法明细'!$K$7:$K$46,"Direct_multihop")</x:f>
        <x:v>0.9143352726831958</x:v>
      </x:c>
      <x:c r="D25" s="14" t="n">
        <x:f>SUMIFS('道路方法明细'!$D$7:$D$46,'道路方法明细'!$A$7:$A$46,$A25,'道路方法明细'!$K$7:$K$46,"Fusion_mean50")</x:f>
        <x:v>0.914878633158967</x:v>
      </x:c>
      <x:c r="E25" s="14" t="n">
        <x:f>SUMIFS('道路方法明细'!$D$7:$D$46,'道路方法明细'!$A$7:$A$46,$A25,'道路方法明细'!$K$7:$K$46,"Fusion_gap60mean")</x:f>
        <x:v>0.9150510860888365</x:v>
      </x:c>
      <x:c r="F25" s="18" t="n">
        <x:f>E25-D25</x:f>
        <x:v>0.00017245292986944882</x:v>
      </x:c>
      <x:c r="G25" s="3" t="str">
        <x:f>INDEX($B$20:$E$20,1,MATCH(MAX(B25:E25),B25:E25,0))</x:f>
        <x:v>60分钟切换</x:v>
      </x:c>
      <x:c r="H25" s="23" t="n">
        <x:f>SUMIFS('道路方法明细'!$G$7:$G$46,'道路方法明细'!$A$7:$A$46,$A25,'道路方法明细'!$K$7:$K$46,"Fusion_mean50")</x:f>
        <x:v>819695</x:v>
      </x:c>
    </x:row>
    <x:row r="26" ht="25" customHeight="1">
      <x:c r="A26" s="3" t="str">
        <x:v>D7_I405_S</x:v>
      </x:c>
      <x:c r="B26" s="14" t="n">
        <x:f>SUMIFS('道路方法明细'!$D$7:$D$46,'道路方法明细'!$A$7:$A$46,$A26,'道路方法明细'!$K$7:$K$46,"B2_multihop")</x:f>
        <x:v>0.9050649273934676</x:v>
      </x:c>
      <x:c r="C26" s="14" t="n">
        <x:f>SUMIFS('道路方法明细'!$D$7:$D$46,'道路方法明细'!$A$7:$A$46,$A26,'道路方法明细'!$K$7:$K$46,"Direct_multihop")</x:f>
        <x:v>0.9045102540571968</x:v>
      </x:c>
      <x:c r="D26" s="14" t="n">
        <x:f>SUMIFS('道路方法明细'!$D$7:$D$46,'道路方法明细'!$A$7:$A$46,$A26,'道路方法明细'!$K$7:$K$46,"Fusion_mean50")</x:f>
        <x:v>0.9056909409532659</x:v>
      </x:c>
      <x:c r="E26" s="14" t="n">
        <x:f>SUMIFS('道路方法明细'!$D$7:$D$46,'道路方法明细'!$A$7:$A$46,$A26,'道路方法明细'!$K$7:$K$46,"Fusion_gap60mean")</x:f>
        <x:v>0.9059368581392909</x:v>
      </x:c>
      <x:c r="F26" s="18" t="n">
        <x:f>E26-D26</x:f>
        <x:v>0.0002459171860250686</x:v>
      </x:c>
      <x:c r="G26" s="3" t="str">
        <x:f>INDEX($B$20:$E$20,1,MATCH(MAX(B26:E26),B26:E26,0))</x:f>
        <x:v>60分钟切换</x:v>
      </x:c>
      <x:c r="H26" s="23" t="n">
        <x:f>SUMIFS('道路方法明细'!$G$7:$G$46,'道路方法明细'!$A$7:$A$46,$A26,'道路方法明细'!$K$7:$K$46,"Fusion_mean50")</x:f>
        <x:v>234798</x:v>
      </x:c>
    </x:row>
    <x:row r="27" ht="25" customHeight="1">
      <x:c r="A27" s="3" t="str">
        <x:v>D12_I5_N</x:v>
      </x:c>
      <x:c r="B27" s="14" t="n">
        <x:f>SUMIFS('道路方法明细'!$D$7:$D$46,'道路方法明细'!$A$7:$A$46,$A27,'道路方法明细'!$K$7:$K$46,"B2_multihop")</x:f>
        <x:v>0.925986283090204</x:v>
      </x:c>
      <x:c r="C27" s="14" t="n">
        <x:f>SUMIFS('道路方法明细'!$D$7:$D$46,'道路方法明细'!$A$7:$A$46,$A27,'道路方法明细'!$K$7:$K$46,"Direct_multihop")</x:f>
        <x:v>0.9260350780613219</x:v>
      </x:c>
      <x:c r="D27" s="14" t="n">
        <x:f>SUMIFS('道路方法明细'!$D$7:$D$46,'道路方法明细'!$A$7:$A$46,$A27,'道路方法明细'!$K$7:$K$46,"Fusion_mean50")</x:f>
        <x:v>0.9278232244903214</x:v>
      </x:c>
      <x:c r="E27" s="14" t="n">
        <x:f>SUMIFS('道路方法明细'!$D$7:$D$46,'道路方法明细'!$A$7:$A$46,$A27,'道路方法明细'!$K$7:$K$46,"Fusion_gap60mean")</x:f>
        <x:v>0.928029407607709</x:v>
      </x:c>
      <x:c r="F27" s="18" t="n">
        <x:f>E27-D27</x:f>
        <x:v>0.00020618311738762607</x:v>
      </x:c>
      <x:c r="G27" s="3" t="str">
        <x:f>INDEX($B$20:$E$20,1,MATCH(MAX(B27:E27),B27:E27,0))</x:f>
        <x:v>60分钟切换</x:v>
      </x:c>
      <x:c r="H27" s="23" t="n">
        <x:f>SUMIFS('道路方法明细'!$G$7:$G$46,'道路方法明细'!$A$7:$A$46,$A27,'道路方法明细'!$K$7:$K$46,"Fusion_mean50")</x:f>
        <x:v>550149</x:v>
      </x:c>
    </x:row>
    <x:row r="28" ht="25" customHeight="1">
      <x:c r="A28" s="3" t="str">
        <x:v>D12_I5_S</x:v>
      </x:c>
      <x:c r="B28" s="14" t="n">
        <x:f>SUMIFS('道路方法明细'!$D$7:$D$46,'道路方法明细'!$A$7:$A$46,$A28,'道路方法明细'!$K$7:$K$46,"B2_multihop")</x:f>
        <x:v>0.91204061593861</x:v>
      </x:c>
      <x:c r="C28" s="14" t="n">
        <x:f>SUMIFS('道路方法明细'!$D$7:$D$46,'道路方法明细'!$A$7:$A$46,$A28,'道路方法明细'!$K$7:$K$46,"Direct_multihop")</x:f>
        <x:v>0.9116164263826924</x:v>
      </x:c>
      <x:c r="D28" s="14" t="n">
        <x:f>SUMIFS('道路方法明细'!$D$7:$D$46,'道路方法明细'!$A$7:$A$46,$A28,'道路方法明细'!$K$7:$K$46,"Fusion_mean50")</x:f>
        <x:v>0.912689955958689</x:v>
      </x:c>
      <x:c r="E28" s="14" t="n">
        <x:f>SUMIFS('道路方法明细'!$D$7:$D$46,'道路方法明细'!$A$7:$A$46,$A28,'道路方法明细'!$K$7:$K$46,"Fusion_gap60mean")</x:f>
        <x:v>0.9128709287397804</x:v>
      </x:c>
      <x:c r="F28" s="18" t="n">
        <x:f>E28-D28</x:f>
        <x:v>0.00018097278109141524</x:v>
      </x:c>
      <x:c r="G28" s="3" t="str">
        <x:f>INDEX($B$20:$E$20,1,MATCH(MAX(B28:E28),B28:E28,0))</x:f>
        <x:v>60分钟切换</x:v>
      </x:c>
      <x:c r="H28" s="23" t="n">
        <x:f>SUMIFS('道路方法明细'!$G$7:$G$46,'道路方法明细'!$A$7:$A$46,$A28,'道路方法明细'!$K$7:$K$46,"Fusion_mean50")</x:f>
        <x:v>230438</x:v>
      </x:c>
    </x:row>
    <x:row r="29" ht="25" customHeight="1">
      <x:c r="A29" s="3" t="str">
        <x:v>D12_I405_N</x:v>
      </x:c>
      <x:c r="B29" s="14" t="n">
        <x:f>SUMIFS('道路方法明细'!$D$7:$D$46,'道路方法明细'!$A$7:$A$46,$A29,'道路方法明细'!$K$7:$K$46,"B2_multihop")</x:f>
        <x:v>0.9455408990177713</x:v>
      </x:c>
      <x:c r="C29" s="14" t="n">
        <x:f>SUMIFS('道路方法明细'!$D$7:$D$46,'道路方法明细'!$A$7:$A$46,$A29,'道路方法明细'!$K$7:$K$46,"Direct_multihop")</x:f>
        <x:v>0.9475098724737624</x:v>
      </x:c>
      <x:c r="D29" s="14" t="n">
        <x:f>SUMIFS('道路方法明细'!$D$7:$D$46,'道路方法明细'!$A$7:$A$46,$A29,'道路方法明细'!$K$7:$K$46,"Fusion_mean50")</x:f>
        <x:v>0.9477124080453277</x:v>
      </x:c>
      <x:c r="E29" s="14" t="n">
        <x:f>SUMIFS('道路方法明细'!$D$7:$D$46,'道路方法明细'!$A$7:$A$46,$A29,'道路方法明细'!$K$7:$K$46,"Fusion_gap60mean")</x:f>
        <x:v>0.9477412123641122</x:v>
      </x:c>
      <x:c r="F29" s="18" t="n">
        <x:f>E29-D29</x:f>
        <x:v>0.00002880431878449219</x:v>
      </x:c>
      <x:c r="G29" s="3" t="str">
        <x:f>INDEX($B$20:$E$20,1,MATCH(MAX(B29:E29),B29:E29,0))</x:f>
        <x:v>60分钟切换</x:v>
      </x:c>
      <x:c r="H29" s="23" t="n">
        <x:f>SUMIFS('道路方法明细'!$G$7:$G$46,'道路方法明细'!$A$7:$A$46,$A29,'道路方法明细'!$K$7:$K$46,"Fusion_mean50")</x:f>
        <x:v>189736</x:v>
      </x:c>
    </x:row>
    <x:row r="30" ht="25" customHeight="1">
      <x:c r="A30" s="3" t="str">
        <x:v>D12_I405_S</x:v>
      </x:c>
      <x:c r="B30" s="14" t="n">
        <x:f>SUMIFS('道路方法明细'!$D$7:$D$46,'道路方法明细'!$A$7:$A$46,$A30,'道路方法明细'!$K$7:$K$46,"B2_multihop")</x:f>
        <x:v>0.9223228443647606</x:v>
      </x:c>
      <x:c r="C30" s="14" t="n">
        <x:f>SUMIFS('道路方法明细'!$D$7:$D$46,'道路方法明细'!$A$7:$A$46,$A30,'道路方法明细'!$K$7:$K$46,"Direct_multihop")</x:f>
        <x:v>0.9232296372941396</x:v>
      </x:c>
      <x:c r="D30" s="14" t="n">
        <x:f>SUMIFS('道路方法明细'!$D$7:$D$46,'道路方法明细'!$A$7:$A$46,$A30,'道路方法明细'!$K$7:$K$46,"Fusion_mean50")</x:f>
        <x:v>0.9235583666915587</x:v>
      </x:c>
      <x:c r="E30" s="14" t="n">
        <x:f>SUMIFS('道路方法明细'!$D$7:$D$46,'道路方法明细'!$A$7:$A$46,$A30,'道路方法明细'!$K$7:$K$46,"Fusion_gap60mean")</x:f>
        <x:v>0.9235546734865698</x:v>
      </x:c>
      <x:c r="F30" s="18" t="n">
        <x:f>E30-D30</x:f>
        <x:v>-0.000003693204988830523</x:v>
      </x:c>
      <x:c r="G30" s="3" t="str">
        <x:f>INDEX($B$20:$E$20,1,MATCH(MAX(B30:E30),B30:E30,0))</x:f>
        <x:v>50%等权</x:v>
      </x:c>
      <x:c r="H30" s="23" t="n">
        <x:f>SUMIFS('道路方法明细'!$G$7:$G$46,'道路方法明细'!$A$7:$A$46,$A30,'道路方法明细'!$K$7:$K$46,"Fusion_mean50")</x:f>
        <x:v>109354</x:v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23"/>
    </x:row>
    <x:row r="32" ht="25" customHeight="1">
      <x:c r="A32" s="3"/>
      <x:c r="B32" s="3"/>
      <x:c r="C32" s="3"/>
      <x:c r="D32" s="3"/>
      <x:c r="E32" s="3"/>
      <x:c r="F32" s="3"/>
      <x:c r="G32" s="3" t="str">
        <x:v>目标总数</x:v>
      </x:c>
      <x:c r="H32" s="23" t="n">
        <x:f>SUM(H21:H30)</x:f>
        <x:v>3645345</x:v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22" t="str">
        <x:v>实验配置</x:v>
      </x:c>
      <x:c r="B35" s="3"/>
      <x:c r="C35" s="3"/>
      <x:c r="D35" s="3"/>
      <x:c r="E35" s="3"/>
      <x:c r="F35" s="3"/>
      <x:c r="G35" s="3"/>
      <x:c r="H35" s="3"/>
    </x:row>
    <x:row r="36" ht="25" customHeight="1">
      <x:c r="A36" s="3" t="str">
        <x:v>训练开始</x:v>
      </x:c>
      <x:c r="B36" s="24" t="d">
        <x:v>2030-06-01T00:00:00.000Z</x:v>
      </x:c>
      <x:c r="C36" s="3"/>
      <x:c r="D36" s="3" t="str">
        <x:v>训练结束</x:v>
      </x:c>
      <x:c r="E36" s="24" t="d">
        <x:v>2030-12-31T00:00:00.000Z</x:v>
      </x:c>
      <x:c r="F36" s="3"/>
      <x:c r="G36" s="3"/>
      <x:c r="H36" s="3"/>
    </x:row>
    <x:row r="37" ht="25" customHeight="1">
      <x:c r="A37" s="3" t="str">
        <x:v>评测开始</x:v>
      </x:c>
      <x:c r="B37" s="24" t="d">
        <x:v>2031-01-01T00:00:00.000Z</x:v>
      </x:c>
      <x:c r="C37" s="3"/>
      <x:c r="D37" s="3" t="str">
        <x:v>评测结束</x:v>
      </x:c>
      <x:c r="E37" s="24" t="d">
        <x:v>2031-01-31T00:00:00.000Z</x:v>
      </x:c>
      <x:c r="F37" s="3"/>
      <x:c r="G37" s="3"/>
      <x:c r="H37" s="3"/>
    </x:row>
    <x:row r="38" ht="25" customHeight="1">
      <x:c r="A38" s="3" t="str">
        <x:v>每天训练样本</x:v>
      </x:c>
      <x:c r="B38" s="13" t="n">
        <x:v>1000</x:v>
      </x:c>
      <x:c r="C38" s="3"/>
      <x:c r="D38" s="3" t="str">
        <x:v>训练轮数</x:v>
      </x:c>
      <x:c r="E38" s="13" t="n">
        <x:v>350</x:v>
      </x:c>
      <x:c r="F38" s="3"/>
      <x:c r="G38" s="3"/>
      <x:c r="H38" s="3"/>
    </x:row>
    <x:row r="39" ht="25" customHeight="1">
      <x:c r="A39" s="3" t="str">
        <x:v>随机种子</x:v>
      </x:c>
      <x:c r="B39" s="13" t="n">
        <x:v>20261016</x:v>
      </x:c>
      <x:c r="C39" s="3"/>
      <x:c r="D39" s="3" t="str">
        <x:v>线程数</x:v>
      </x:c>
      <x:c r="E39" s="13" t="n">
        <x:v>4</x:v>
      </x:c>
      <x:c r="F39" s="3"/>
      <x:c r="G39" s="3"/>
      <x:c r="H39" s="3"/>
    </x:row>
    <x:row r="40" ht="25" customHeight="1">
      <x:c r="A40" s="3" t="str">
        <x:v>等权融合</x:v>
      </x:c>
      <x:c r="B40" s="3" t="str">
        <x:v>残差、直接各 50%</x:v>
      </x:c>
      <x:c r="C40" s="3"/>
      <x:c r="D40" s="3" t="str">
        <x:v>切换条件</x:v>
      </x:c>
      <x:c r="E40" s="3" t="str">
        <x:v>间隔 &gt;60 分钟用直接</x:v>
      </x:c>
      <x:c r="F40" s="3"/>
      <x:c r="G40" s="3"/>
      <x:c r="H40" s="3"/>
    </x:row>
    <x:row r="41" ht="25" customHeight="1">
      <x:c r="A41" s="3" t="str">
        <x:v>缺一侧观测</x:v>
      </x:c>
      <x:c r="B41" s="3" t="str">
        <x:v>使用直接预测</x:v>
      </x:c>
      <x:c r="C41" s="3"/>
      <x:c r="D41" s="3" t="str">
        <x:v>二月数据</x:v>
      </x:c>
      <x:c r="E41" s="3" t="str">
        <x:v>留出，未使用</x:v>
      </x:c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</x:sheetData>
  <x:conditionalFormatting sqref="E9:G12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B9:B12">
    <x:cfRule type="expression" dxfId="2" priority="3">
      <x:formula>B9=MAX($B$9:$B$12)</x:formula>
    </x:cfRule>
  </x:conditionalFormatting>
  <x:conditionalFormatting sqref="F21:F30">
    <x:cfRule type="cellIs" dxfId="3" priority="4" operator="greaterThan">
      <x:formula>0</x:formula>
    </x:cfRule>
    <x:cfRule type="cellIs" dxfId="4" priority="5" operator="lessThan">
      <x:formula>0</x:formula>
    </x:cfRule>
  </x:conditionalFormatting>
  <x:conditionalFormatting sqref="B21:E30">
    <x:cfRule type="expression" dxfId="5" priority="6">
      <x:formula>B21=MAX($B21:$E21)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3" hidden="0" customWidth="1"/>
    <x:col min="4" max="4" width="16" hidden="0" customWidth="1"/>
    <x:col min="5" max="5" width="20" hidden="0" customWidth="1"/>
    <x:col min="6" max="6" width="24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2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4" t="str">
        <x:v>各方向四种方法的完整指标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5" customHeight="1">
      <x:c r="A4" s="6" t="str">
        <x:v>来源 comparison_by_panel.csv；目标数由 R1-R3 明细汇总。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6" t="str">
        <x:v>实验 all_baseline_resume_20261017_011520_258735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40" customHeight="1">
      <x:c r="A6" s="10" t="str">
        <x:v>道路方向</x:v>
      </x:c>
      <x:c r="B6" s="10" t="str">
        <x:v>走廊家族</x:v>
      </x:c>
      <x:c r="C6" s="10" t="str">
        <x:v>方法</x:v>
      </x:c>
      <x:c r="D6" s="10" t="str">
        <x:v>得分 S_state</x:v>
      </x:c>
      <x:c r="E6" s="10" t="str">
        <x:v>速度 RMSE
(km/h)</x:v>
      </x:c>
      <x:c r="F6" s="10" t="str">
        <x:v>流量 RMSE
(veh/h/lane)</x:v>
      </x:c>
      <x:c r="G6" s="10" t="str">
        <x:v>目标数</x:v>
      </x:c>
      <x:c r="H6" s="10" t="str">
        <x:v>相对残差 ΔS</x:v>
      </x:c>
      <x:c r="I6" s="10" t="str">
        <x:v>相对直接 ΔS</x:v>
      </x:c>
      <x:c r="J6" s="10" t="str">
        <x:v>相对等权 ΔS</x:v>
      </x:c>
      <x:c r="K6" s="10" t="str">
        <x:v>方法 ID</x:v>
      </x:c>
    </x:row>
    <x:row r="7" ht="25" customHeight="1">
      <x:c r="A7" s="3" t="str">
        <x:v>D7_I10_E</x:v>
      </x:c>
      <x:c r="B7" s="3" t="str">
        <x:v>D7_I10</x:v>
      </x:c>
      <x:c r="C7" s="3" t="str">
        <x:v>多跳残差</x:v>
      </x:c>
      <x:c r="D7" s="14" t="n">
        <x:v>0.9226907375777862</x:v>
      </x:c>
      <x:c r="E7" s="15" t="n">
        <x:v>2.1842390002446157</x:v>
      </x:c>
      <x:c r="F7" s="15" t="n">
        <x:v>39.29960871773503</x:v>
      </x:c>
      <x:c r="G7" s="25" t="n">
        <x:f>SUMIFS('R1-R3明细'!$E$7:$E$126,'R1-R3明细'!$A$7:$A$126,A7,'R1-R3明细'!$D$7:$D$126,C7)</x:f>
        <x:v>305115</x:v>
      </x:c>
      <x:c r="H7" s="18" t="n">
        <x:f>D7-SUMIFS($D$7:$D$46,$A$7:$A$46,A7,$K$7:$K$46,"B2_multihop")</x:f>
        <x:v>0</x:v>
      </x:c>
      <x:c r="I7" s="18" t="n">
        <x:f>D7-SUMIFS($D$7:$D$46,$A$7:$A$46,A7,$K$7:$K$46,"Direct_multihop")</x:f>
        <x:v>0.003550681631760977</x:v>
      </x:c>
      <x:c r="J7" s="18" t="n">
        <x:f>D7-SUMIFS($D$7:$D$46,$A$7:$A$46,A7,$K$7:$K$46,"Fusion_mean50")</x:f>
        <x:v>-0.00036682073542815274</x:v>
      </x:c>
      <x:c r="K7" s="3" t="str">
        <x:v>B2_multihop</x:v>
      </x:c>
    </x:row>
    <x:row r="8" ht="25" customHeight="1">
      <x:c r="A8" s="3" t="str">
        <x:v>D7_I10_E</x:v>
      </x:c>
      <x:c r="B8" s="3" t="str">
        <x:v>D7_I10</x:v>
      </x:c>
      <x:c r="C8" s="3" t="str">
        <x:v>多跳直接</x:v>
      </x:c>
      <x:c r="D8" s="14" t="n">
        <x:v>0.9191400559460252</x:v>
      </x:c>
      <x:c r="E8" s="15" t="n">
        <x:v>2.15816267741197</x:v>
      </x:c>
      <x:c r="F8" s="15" t="n">
        <x:v>44.66560463722985</x:v>
      </x:c>
      <x:c r="G8" s="25" t="n">
        <x:f>SUMIFS('R1-R3明细'!$E$7:$E$126,'R1-R3明细'!$A$7:$A$126,A8,'R1-R3明细'!$D$7:$D$126,C8)</x:f>
        <x:v>305115</x:v>
      </x:c>
      <x:c r="H8" s="18" t="n">
        <x:f>D8-SUMIFS($D$7:$D$46,$A$7:$A$46,A8,$K$7:$K$46,"B2_multihop")</x:f>
        <x:v>-0.003550681631760977</x:v>
      </x:c>
      <x:c r="I8" s="18" t="n">
        <x:f>D8-SUMIFS($D$7:$D$46,$A$7:$A$46,A8,$K$7:$K$46,"Direct_multihop")</x:f>
        <x:v>0</x:v>
      </x:c>
      <x:c r="J8" s="18" t="n">
        <x:f>D8-SUMIFS($D$7:$D$46,$A$7:$A$46,A8,$K$7:$K$46,"Fusion_mean50")</x:f>
        <x:v>-0.00391750236718913</x:v>
      </x:c>
      <x:c r="K8" s="3" t="str">
        <x:v>Direct_multihop</x:v>
      </x:c>
    </x:row>
    <x:row r="9" ht="25" customHeight="1">
      <x:c r="A9" s="3" t="str">
        <x:v>D7_I10_E</x:v>
      </x:c>
      <x:c r="B9" s="3" t="str">
        <x:v>D7_I10</x:v>
      </x:c>
      <x:c r="C9" s="3" t="str">
        <x:v>50%等权融合</x:v>
      </x:c>
      <x:c r="D9" s="14" t="n">
        <x:v>0.9230575583132143</x:v>
      </x:c>
      <x:c r="E9" s="15" t="n">
        <x:v>2.123780469721519</x:v>
      </x:c>
      <x:c r="F9" s="15" t="n">
        <x:v>40.524500270609735</x:v>
      </x:c>
      <x:c r="G9" s="25" t="n">
        <x:f>SUMIFS('R1-R3明细'!$E$7:$E$126,'R1-R3明细'!$A$7:$A$126,A9,'R1-R3明细'!$D$7:$D$126,C9)</x:f>
        <x:v>305115</x:v>
      </x:c>
      <x:c r="H9" s="18" t="n">
        <x:f>D9-SUMIFS($D$7:$D$46,$A$7:$A$46,A9,$K$7:$K$46,"B2_multihop")</x:f>
        <x:v>0.00036682073542815274</x:v>
      </x:c>
      <x:c r="I9" s="18" t="n">
        <x:f>D9-SUMIFS($D$7:$D$46,$A$7:$A$46,A9,$K$7:$K$46,"Direct_multihop")</x:f>
        <x:v>0.00391750236718913</x:v>
      </x:c>
      <x:c r="J9" s="18" t="n">
        <x:f>D9-SUMIFS($D$7:$D$46,$A$7:$A$46,A9,$K$7:$K$46,"Fusion_mean50")</x:f>
        <x:v>0</x:v>
      </x:c>
      <x:c r="K9" s="3" t="str">
        <x:v>Fusion_mean50</x:v>
      </x:c>
    </x:row>
    <x:row r="10" ht="25" customHeight="1">
      <x:c r="A10" s="3" t="str">
        <x:v>D7_I10_E</x:v>
      </x:c>
      <x:c r="B10" s="3" t="str">
        <x:v>D7_I10</x:v>
      </x:c>
      <x:c r="C10" s="3" t="str">
        <x:v>60分钟切换融合</x:v>
      </x:c>
      <x:c r="D10" s="14" t="n">
        <x:v>0.9229344221497184</x:v>
      </x:c>
      <x:c r="E10" s="15" t="n">
        <x:v>2.1193228710543903</x:v>
      </x:c>
      <x:c r="F10" s="15" t="n">
        <x:v>40.81070065500885</x:v>
      </x:c>
      <x:c r="G10" s="25" t="n">
        <x:f>SUMIFS('R1-R3明细'!$E$7:$E$126,'R1-R3明细'!$A$7:$A$126,A10,'R1-R3明细'!$D$7:$D$126,C10)</x:f>
        <x:v>305115</x:v>
      </x:c>
      <x:c r="H10" s="18" t="n">
        <x:f>D10-SUMIFS($D$7:$D$46,$A$7:$A$46,A10,$K$7:$K$46,"B2_multihop")</x:f>
        <x:v>0.00024368457193224557</x:v>
      </x:c>
      <x:c r="I10" s="18" t="n">
        <x:f>D10-SUMIFS($D$7:$D$46,$A$7:$A$46,A10,$K$7:$K$46,"Direct_multihop")</x:f>
        <x:v>0.0037943662036932224</x:v>
      </x:c>
      <x:c r="J10" s="18" t="n">
        <x:f>D10-SUMIFS($D$7:$D$46,$A$7:$A$46,A10,$K$7:$K$46,"Fusion_mean50")</x:f>
        <x:v>-0.00012313616349590717</x:v>
      </x:c>
      <x:c r="K10" s="3" t="str">
        <x:v>Fusion_gap60mean</x:v>
      </x:c>
    </x:row>
    <x:row r="11" ht="25" customHeight="1">
      <x:c r="A11" s="3" t="str">
        <x:v>D7_I10_W</x:v>
      </x:c>
      <x:c r="B11" s="3" t="str">
        <x:v>D7_I10</x:v>
      </x:c>
      <x:c r="C11" s="3" t="str">
        <x:v>多跳残差</x:v>
      </x:c>
      <x:c r="D11" s="14" t="n">
        <x:v>0.9379924427030432</x:v>
      </x:c>
      <x:c r="E11" s="15" t="n">
        <x:v>1.5704734406486711</x:v>
      </x:c>
      <x:c r="F11" s="15" t="n">
        <x:v>36.63304040732042</x:v>
      </x:c>
      <x:c r="G11" s="25" t="n">
        <x:f>SUMIFS('R1-R3明细'!$E$7:$E$126,'R1-R3明细'!$A$7:$A$126,A11,'R1-R3明细'!$D$7:$D$126,C11)</x:f>
        <x:v>266746</x:v>
      </x:c>
      <x:c r="H11" s="18" t="n">
        <x:f>D11-SUMIFS($D$7:$D$46,$A$7:$A$46,A11,$K$7:$K$46,"B2_multihop")</x:f>
        <x:v>0</x:v>
      </x:c>
      <x:c r="I11" s="18" t="n">
        <x:f>D11-SUMIFS($D$7:$D$46,$A$7:$A$46,A11,$K$7:$K$46,"Direct_multihop")</x:f>
        <x:v>0.002299695688579906</x:v>
      </x:c>
      <x:c r="J11" s="18" t="n">
        <x:f>D11-SUMIFS($D$7:$D$46,$A$7:$A$46,A11,$K$7:$K$46,"Fusion_mean50")</x:f>
        <x:v>-0.000023442930349282243</x:v>
      </x:c>
      <x:c r="K11" s="3" t="str">
        <x:v>B2_multihop</x:v>
      </x:c>
    </x:row>
    <x:row r="12" ht="25" customHeight="1">
      <x:c r="A12" s="3" t="str">
        <x:v>D7_I10_W</x:v>
      </x:c>
      <x:c r="B12" s="3" t="str">
        <x:v>D7_I10</x:v>
      </x:c>
      <x:c r="C12" s="3" t="str">
        <x:v>多跳直接</x:v>
      </x:c>
      <x:c r="D12" s="14" t="n">
        <x:v>0.9356927470144633</x:v>
      </x:c>
      <x:c r="E12" s="15" t="n">
        <x:v>1.680637690610439</x:v>
      </x:c>
      <x:c r="F12" s="15" t="n">
        <x:v>36.52888548045814</x:v>
      </x:c>
      <x:c r="G12" s="25" t="n">
        <x:f>SUMIFS('R1-R3明细'!$E$7:$E$126,'R1-R3明细'!$A$7:$A$126,A12,'R1-R3明细'!$D$7:$D$126,C12)</x:f>
        <x:v>266746</x:v>
      </x:c>
      <x:c r="H12" s="18" t="n">
        <x:f>D12-SUMIFS($D$7:$D$46,$A$7:$A$46,A12,$K$7:$K$46,"B2_multihop")</x:f>
        <x:v>-0.002299695688579906</x:v>
      </x:c>
      <x:c r="I12" s="18" t="n">
        <x:f>D12-SUMIFS($D$7:$D$46,$A$7:$A$46,A12,$K$7:$K$46,"Direct_multihop")</x:f>
        <x:v>0</x:v>
      </x:c>
      <x:c r="J12" s="18" t="n">
        <x:f>D12-SUMIFS($D$7:$D$46,$A$7:$A$46,A12,$K$7:$K$46,"Fusion_mean50")</x:f>
        <x:v>-0.002323138618929188</x:v>
      </x:c>
      <x:c r="K12" s="3" t="str">
        <x:v>Direct_multihop</x:v>
      </x:c>
    </x:row>
    <x:row r="13" ht="25" customHeight="1">
      <x:c r="A13" s="3" t="str">
        <x:v>D7_I10_W</x:v>
      </x:c>
      <x:c r="B13" s="3" t="str">
        <x:v>D7_I10</x:v>
      </x:c>
      <x:c r="C13" s="3" t="str">
        <x:v>50%等权融合</x:v>
      </x:c>
      <x:c r="D13" s="14" t="n">
        <x:v>0.9380158856333924</x:v>
      </x:c>
      <x:c r="E13" s="15" t="n">
        <x:v>1.5799979334277456</x:v>
      </x:c>
      <x:c r="F13" s="15" t="n">
        <x:v>36.33412044074134</x:v>
      </x:c>
      <x:c r="G13" s="25" t="n">
        <x:f>SUMIFS('R1-R3明细'!$E$7:$E$126,'R1-R3明细'!$A$7:$A$126,A13,'R1-R3明细'!$D$7:$D$126,C13)</x:f>
        <x:v>266746</x:v>
      </x:c>
      <x:c r="H13" s="18" t="n">
        <x:f>D13-SUMIFS($D$7:$D$46,$A$7:$A$46,A13,$K$7:$K$46,"B2_multihop")</x:f>
        <x:v>0.000023442930349282243</x:v>
      </x:c>
      <x:c r="I13" s="18" t="n">
        <x:f>D13-SUMIFS($D$7:$D$46,$A$7:$A$46,A13,$K$7:$K$46,"Direct_multihop")</x:f>
        <x:v>0.002323138618929188</x:v>
      </x:c>
      <x:c r="J13" s="18" t="n">
        <x:f>D13-SUMIFS($D$7:$D$46,$A$7:$A$46,A13,$K$7:$K$46,"Fusion_mean50")</x:f>
        <x:v>0</x:v>
      </x:c>
      <x:c r="K13" s="3" t="str">
        <x:v>Fusion_mean50</x:v>
      </x:c>
    </x:row>
    <x:row r="14" ht="25" customHeight="1">
      <x:c r="A14" s="3" t="str">
        <x:v>D7_I10_W</x:v>
      </x:c>
      <x:c r="B14" s="3" t="str">
        <x:v>D7_I10</x:v>
      </x:c>
      <x:c r="C14" s="3" t="str">
        <x:v>60分钟切换融合</x:v>
      </x:c>
      <x:c r="D14" s="14" t="n">
        <x:v>0.9377886142503556</x:v>
      </x:c>
      <x:c r="E14" s="15" t="n">
        <x:v>1.5919236219635724</x:v>
      </x:c>
      <x:c r="F14" s="15" t="n">
        <x:v>36.29456806334509</x:v>
      </x:c>
      <x:c r="G14" s="25" t="n">
        <x:f>SUMIFS('R1-R3明细'!$E$7:$E$126,'R1-R3明细'!$A$7:$A$126,A14,'R1-R3明细'!$D$7:$D$126,C14)</x:f>
        <x:v>266746</x:v>
      </x:c>
      <x:c r="H14" s="18" t="n">
        <x:f>D14-SUMIFS($D$7:$D$46,$A$7:$A$46,A14,$K$7:$K$46,"B2_multihop")</x:f>
        <x:v>-0.0002038284526875156</x:v>
      </x:c>
      <x:c r="I14" s="18" t="n">
        <x:f>D14-SUMIFS($D$7:$D$46,$A$7:$A$46,A14,$K$7:$K$46,"Direct_multihop")</x:f>
        <x:v>0.00209586723589239</x:v>
      </x:c>
      <x:c r="J14" s="18" t="n">
        <x:f>D14-SUMIFS($D$7:$D$46,$A$7:$A$46,A14,$K$7:$K$46,"Fusion_mean50")</x:f>
        <x:v>-0.00022727138303679784</x:v>
      </x:c>
      <x:c r="K14" s="3" t="str">
        <x:v>Fusion_gap60mean</x:v>
      </x:c>
    </x:row>
    <x:row r="15" ht="25" customHeight="1">
      <x:c r="A15" s="3" t="str">
        <x:v>D7_I210_E</x:v>
      </x:c>
      <x:c r="B15" s="3" t="str">
        <x:v>D7_I210</x:v>
      </x:c>
      <x:c r="C15" s="3" t="str">
        <x:v>多跳残差</x:v>
      </x:c>
      <x:c r="D15" s="14" t="n">
        <x:v>0.9329763436022264</x:v>
      </x:c>
      <x:c r="E15" s="15" t="n">
        <x:v>1.8006238675059685</x:v>
      </x:c>
      <x:c r="F15" s="15" t="n">
        <x:v>36.69154025171053</x:v>
      </x:c>
      <x:c r="G15" s="25" t="n">
        <x:f>SUMIFS('R1-R3明细'!$E$7:$E$126,'R1-R3明细'!$A$7:$A$126,A15,'R1-R3明细'!$D$7:$D$126,C15)</x:f>
        <x:v>738391</x:v>
      </x:c>
      <x:c r="H15" s="18" t="n">
        <x:f>D15-SUMIFS($D$7:$D$46,$A$7:$A$46,A15,$K$7:$K$46,"B2_multihop")</x:f>
        <x:v>0</x:v>
      </x:c>
      <x:c r="I15" s="18" t="n">
        <x:f>D15-SUMIFS($D$7:$D$46,$A$7:$A$46,A15,$K$7:$K$46,"Direct_multihop")</x:f>
        <x:v>0.0005936563926850491</x:v>
      </x:c>
      <x:c r="J15" s="18" t="n">
        <x:f>D15-SUMIFS($D$7:$D$46,$A$7:$A$46,A15,$K$7:$K$46,"Fusion_mean50")</x:f>
        <x:v>-0.0007367322087725725</x:v>
      </x:c>
      <x:c r="K15" s="3" t="str">
        <x:v>B2_multihop</x:v>
      </x:c>
    </x:row>
    <x:row r="16" ht="25" customHeight="1">
      <x:c r="A16" s="3" t="str">
        <x:v>D7_I210_E</x:v>
      </x:c>
      <x:c r="B16" s="3" t="str">
        <x:v>D7_I210</x:v>
      </x:c>
      <x:c r="C16" s="3" t="str">
        <x:v>多跳直接</x:v>
      </x:c>
      <x:c r="D16" s="14" t="n">
        <x:v>0.9323826872095413</x:v>
      </x:c>
      <x:c r="E16" s="15" t="n">
        <x:v>1.7950606495799144</x:v>
      </x:c>
      <x:c r="F16" s="15" t="n">
        <x:v>37.622612295042416</x:v>
      </x:c>
      <x:c r="G16" s="25" t="n">
        <x:f>SUMIFS('R1-R3明细'!$E$7:$E$126,'R1-R3明细'!$A$7:$A$126,A16,'R1-R3明细'!$D$7:$D$126,C16)</x:f>
        <x:v>738391</x:v>
      </x:c>
      <x:c r="H16" s="18" t="n">
        <x:f>D16-SUMIFS($D$7:$D$46,$A$7:$A$46,A16,$K$7:$K$46,"B2_multihop")</x:f>
        <x:v>-0.0005936563926850491</x:v>
      </x:c>
      <x:c r="I16" s="18" t="n">
        <x:f>D16-SUMIFS($D$7:$D$46,$A$7:$A$46,A16,$K$7:$K$46,"Direct_multihop")</x:f>
        <x:v>0</x:v>
      </x:c>
      <x:c r="J16" s="18" t="n">
        <x:f>D16-SUMIFS($D$7:$D$46,$A$7:$A$46,A16,$K$7:$K$46,"Fusion_mean50")</x:f>
        <x:v>-0.0013303886014576216</x:v>
      </x:c>
      <x:c r="K16" s="3" t="str">
        <x:v>Direct_multihop</x:v>
      </x:c>
    </x:row>
    <x:row r="17" ht="25" customHeight="1">
      <x:c r="A17" s="3" t="str">
        <x:v>D7_I210_E</x:v>
      </x:c>
      <x:c r="B17" s="3" t="str">
        <x:v>D7_I210</x:v>
      </x:c>
      <x:c r="C17" s="3" t="str">
        <x:v>50%等权融合</x:v>
      </x:c>
      <x:c r="D17" s="14" t="n">
        <x:v>0.9337130758109989</x:v>
      </x:c>
      <x:c r="E17" s="15" t="n">
        <x:v>1.771552025974736</x:v>
      </x:c>
      <x:c r="F17" s="15" t="n">
        <x:v>36.54965273210437</x:v>
      </x:c>
      <x:c r="G17" s="25" t="n">
        <x:f>SUMIFS('R1-R3明细'!$E$7:$E$126,'R1-R3明细'!$A$7:$A$126,A17,'R1-R3明细'!$D$7:$D$126,C17)</x:f>
        <x:v>738391</x:v>
      </x:c>
      <x:c r="H17" s="18" t="n">
        <x:f>D17-SUMIFS($D$7:$D$46,$A$7:$A$46,A17,$K$7:$K$46,"B2_multihop")</x:f>
        <x:v>0.0007367322087725725</x:v>
      </x:c>
      <x:c r="I17" s="18" t="n">
        <x:f>D17-SUMIFS($D$7:$D$46,$A$7:$A$46,A17,$K$7:$K$46,"Direct_multihop")</x:f>
        <x:v>0.0013303886014576216</x:v>
      </x:c>
      <x:c r="J17" s="18" t="n">
        <x:f>D17-SUMIFS($D$7:$D$46,$A$7:$A$46,A17,$K$7:$K$46,"Fusion_mean50")</x:f>
        <x:v>0</x:v>
      </x:c>
      <x:c r="K17" s="3" t="str">
        <x:v>Fusion_mean50</x:v>
      </x:c>
    </x:row>
    <x:row r="18" ht="25" customHeight="1">
      <x:c r="A18" s="3" t="str">
        <x:v>D7_I210_E</x:v>
      </x:c>
      <x:c r="B18" s="3" t="str">
        <x:v>D7_I210</x:v>
      </x:c>
      <x:c r="C18" s="3" t="str">
        <x:v>60分钟切换融合</x:v>
      </x:c>
      <x:c r="D18" s="14" t="n">
        <x:v>0.9337907324830326</x:v>
      </x:c>
      <x:c r="E18" s="15" t="n">
        <x:v>1.7705654146149807</x:v>
      </x:c>
      <x:c r="F18" s="15" t="n">
        <x:v>36.47615812341376</x:v>
      </x:c>
      <x:c r="G18" s="25" t="n">
        <x:f>SUMIFS('R1-R3明细'!$E$7:$E$126,'R1-R3明细'!$A$7:$A$126,A18,'R1-R3明细'!$D$7:$D$126,C18)</x:f>
        <x:v>738391</x:v>
      </x:c>
      <x:c r="H18" s="18" t="n">
        <x:f>D18-SUMIFS($D$7:$D$46,$A$7:$A$46,A18,$K$7:$K$46,"B2_multihop")</x:f>
        <x:v>0.000814388880806205</x:v>
      </x:c>
      <x:c r="I18" s="18" t="n">
        <x:f>D18-SUMIFS($D$7:$D$46,$A$7:$A$46,A18,$K$7:$K$46,"Direct_multihop")</x:f>
        <x:v>0.001408045273491254</x:v>
      </x:c>
      <x:c r="J18" s="18" t="n">
        <x:f>D18-SUMIFS($D$7:$D$46,$A$7:$A$46,A18,$K$7:$K$46,"Fusion_mean50")</x:f>
        <x:v>0.00007765667203363247</x:v>
      </x:c>
      <x:c r="K18" s="3" t="str">
        <x:v>Fusion_gap60mean</x:v>
      </x:c>
    </x:row>
    <x:row r="19" ht="25" customHeight="1">
      <x:c r="A19" s="3" t="str">
        <x:v>D7_I210_W</x:v>
      </x:c>
      <x:c r="B19" s="3" t="str">
        <x:v>D7_I210</x:v>
      </x:c>
      <x:c r="C19" s="3" t="str">
        <x:v>多跳残差</x:v>
      </x:c>
      <x:c r="D19" s="14" t="n">
        <x:v>0.8995353633170181</x:v>
      </x:c>
      <x:c r="E19" s="15" t="n">
        <x:v>3.2609397822969117</x:v>
      </x:c>
      <x:c r="F19" s="15" t="n">
        <x:v>39.167396589611336</x:v>
      </x:c>
      <x:c r="G19" s="25" t="n">
        <x:f>SUMIFS('R1-R3明细'!$E$7:$E$126,'R1-R3明细'!$A$7:$A$126,A19,'R1-R3明细'!$D$7:$D$126,C19)</x:f>
        <x:v>200923</x:v>
      </x:c>
      <x:c r="H19" s="18" t="n">
        <x:f>D19-SUMIFS($D$7:$D$46,$A$7:$A$46,A19,$K$7:$K$46,"B2_multihop")</x:f>
        <x:v>0</x:v>
      </x:c>
      <x:c r="I19" s="18" t="n">
        <x:f>D19-SUMIFS($D$7:$D$46,$A$7:$A$46,A19,$K$7:$K$46,"Direct_multihop")</x:f>
        <x:v>-0.0003185335115047927</x:v>
      </x:c>
      <x:c r="J19" s="18" t="n">
        <x:f>D19-SUMIFS($D$7:$D$46,$A$7:$A$46,A19,$K$7:$K$46,"Fusion_mean50")</x:f>
        <x:v>-0.0010022853276570043</x:v>
      </x:c>
      <x:c r="K19" s="3" t="str">
        <x:v>B2_multihop</x:v>
      </x:c>
    </x:row>
    <x:row r="20" ht="25" customHeight="1">
      <x:c r="A20" s="3" t="str">
        <x:v>D7_I210_W</x:v>
      </x:c>
      <x:c r="B20" s="3" t="str">
        <x:v>D7_I210</x:v>
      </x:c>
      <x:c r="C20" s="3" t="str">
        <x:v>多跳直接</x:v>
      </x:c>
      <x:c r="D20" s="14" t="n">
        <x:v>0.8998538968285229</x:v>
      </x:c>
      <x:c r="E20" s="15" t="n">
        <x:v>3.241743258492122</x:v>
      </x:c>
      <x:c r="F20" s="15" t="n">
        <x:v>39.29275928875739</x:v>
      </x:c>
      <x:c r="G20" s="25" t="n">
        <x:f>SUMIFS('R1-R3明细'!$E$7:$E$126,'R1-R3明细'!$A$7:$A$126,A20,'R1-R3明细'!$D$7:$D$126,C20)</x:f>
        <x:v>200923</x:v>
      </x:c>
      <x:c r="H20" s="18" t="n">
        <x:f>D20-SUMIFS($D$7:$D$46,$A$7:$A$46,A20,$K$7:$K$46,"B2_multihop")</x:f>
        <x:v>0.0003185335115047927</x:v>
      </x:c>
      <x:c r="I20" s="18" t="n">
        <x:f>D20-SUMIFS($D$7:$D$46,$A$7:$A$46,A20,$K$7:$K$46,"Direct_multihop")</x:f>
        <x:v>0</x:v>
      </x:c>
      <x:c r="J20" s="18" t="n">
        <x:f>D20-SUMIFS($D$7:$D$46,$A$7:$A$46,A20,$K$7:$K$46,"Fusion_mean50")</x:f>
        <x:v>-0.0006837518161522116</x:v>
      </x:c>
      <x:c r="K20" s="3" t="str">
        <x:v>Direct_multihop</x:v>
      </x:c>
    </x:row>
    <x:row r="21" ht="25" customHeight="1">
      <x:c r="A21" s="3" t="str">
        <x:v>D7_I210_W</x:v>
      </x:c>
      <x:c r="B21" s="3" t="str">
        <x:v>D7_I210</x:v>
      </x:c>
      <x:c r="C21" s="3" t="str">
        <x:v>50%等权融合</x:v>
      </x:c>
      <x:c r="D21" s="14" t="n">
        <x:v>0.9005376486446751</x:v>
      </x:c>
      <x:c r="E21" s="15" t="n">
        <x:v>3.2206938730156343</x:v>
      </x:c>
      <x:c r="F21" s="15" t="n">
        <x:v>38.993952649809536</x:v>
      </x:c>
      <x:c r="G21" s="25" t="n">
        <x:f>SUMIFS('R1-R3明细'!$E$7:$E$126,'R1-R3明细'!$A$7:$A$126,A21,'R1-R3明细'!$D$7:$D$126,C21)</x:f>
        <x:v>200923</x:v>
      </x:c>
      <x:c r="H21" s="18" t="n">
        <x:f>D21-SUMIFS($D$7:$D$46,$A$7:$A$46,A21,$K$7:$K$46,"B2_multihop")</x:f>
        <x:v>0.0010022853276570043</x:v>
      </x:c>
      <x:c r="I21" s="18" t="n">
        <x:f>D21-SUMIFS($D$7:$D$46,$A$7:$A$46,A21,$K$7:$K$46,"Direct_multihop")</x:f>
        <x:v>0.0006837518161522116</x:v>
      </x:c>
      <x:c r="J21" s="18" t="n">
        <x:f>D21-SUMIFS($D$7:$D$46,$A$7:$A$46,A21,$K$7:$K$46,"Fusion_mean50")</x:f>
        <x:v>0</x:v>
      </x:c>
      <x:c r="K21" s="3" t="str">
        <x:v>Fusion_mean50</x:v>
      </x:c>
    </x:row>
    <x:row r="22" ht="25" customHeight="1">
      <x:c r="A22" s="3" t="str">
        <x:v>D7_I210_W</x:v>
      </x:c>
      <x:c r="B22" s="3" t="str">
        <x:v>D7_I210</x:v>
      </x:c>
      <x:c r="C22" s="3" t="str">
        <x:v>60分钟切换融合</x:v>
      </x:c>
      <x:c r="D22" s="14" t="n">
        <x:v>0.9007923699578703</x:v>
      </x:c>
      <x:c r="E22" s="15" t="n">
        <x:v>3.2098014833023663</x:v>
      </x:c>
      <x:c r="F22" s="15" t="n">
        <x:v>38.9685886993025</x:v>
      </x:c>
      <x:c r="G22" s="25" t="n">
        <x:f>SUMIFS('R1-R3明细'!$E$7:$E$126,'R1-R3明细'!$A$7:$A$126,A22,'R1-R3明细'!$D$7:$D$126,C22)</x:f>
        <x:v>200923</x:v>
      </x:c>
      <x:c r="H22" s="18" t="n">
        <x:f>D22-SUMIFS($D$7:$D$46,$A$7:$A$46,A22,$K$7:$K$46,"B2_multihop")</x:f>
        <x:v>0.001257006640852154</x:v>
      </x:c>
      <x:c r="I22" s="18" t="n">
        <x:f>D22-SUMIFS($D$7:$D$46,$A$7:$A$46,A22,$K$7:$K$46,"Direct_multihop")</x:f>
        <x:v>0.0009384731293473614</x:v>
      </x:c>
      <x:c r="J22" s="18" t="n">
        <x:f>D22-SUMIFS($D$7:$D$46,$A$7:$A$46,A22,$K$7:$K$46,"Fusion_mean50")</x:f>
        <x:v>0.0002547213131951498</x:v>
      </x:c>
      <x:c r="K22" s="3" t="str">
        <x:v>Fusion_gap60mean</x:v>
      </x:c>
    </x:row>
    <x:row r="23" ht="25" customHeight="1">
      <x:c r="A23" s="3" t="str">
        <x:v>D7_I405_N</x:v>
      </x:c>
      <x:c r="B23" s="3" t="str">
        <x:v>D7_I405</x:v>
      </x:c>
      <x:c r="C23" s="3" t="str">
        <x:v>多跳残差</x:v>
      </x:c>
      <x:c r="D23" s="14" t="n">
        <x:v>0.9129941407742238</x:v>
      </x:c>
      <x:c r="E23" s="15" t="n">
        <x:v>2.399846821456608</x:v>
      </x:c>
      <x:c r="F23" s="15" t="n">
        <x:v>45.87282767258288</x:v>
      </x:c>
      <x:c r="G23" s="25" t="n">
        <x:f>SUMIFS('R1-R3明细'!$E$7:$E$126,'R1-R3明细'!$A$7:$A$126,A23,'R1-R3明细'!$D$7:$D$126,C23)</x:f>
        <x:v>819695</x:v>
      </x:c>
      <x:c r="H23" s="18" t="n">
        <x:f>D23-SUMIFS($D$7:$D$46,$A$7:$A$46,A23,$K$7:$K$46,"B2_multihop")</x:f>
        <x:v>0</x:v>
      </x:c>
      <x:c r="I23" s="18" t="n">
        <x:f>D23-SUMIFS($D$7:$D$46,$A$7:$A$46,A23,$K$7:$K$46,"Direct_multihop")</x:f>
        <x:v>-0.0013411319089720042</x:v>
      </x:c>
      <x:c r="J23" s="18" t="n">
        <x:f>D23-SUMIFS($D$7:$D$46,$A$7:$A$46,A23,$K$7:$K$46,"Fusion_mean50")</x:f>
        <x:v>-0.0018844923847431971</x:v>
      </x:c>
      <x:c r="K23" s="3" t="str">
        <x:v>B2_multihop</x:v>
      </x:c>
    </x:row>
    <x:row r="24" ht="25" customHeight="1">
      <x:c r="A24" s="3" t="str">
        <x:v>D7_I405_N</x:v>
      </x:c>
      <x:c r="B24" s="3" t="str">
        <x:v>D7_I405</x:v>
      </x:c>
      <x:c r="C24" s="3" t="str">
        <x:v>多跳直接</x:v>
      </x:c>
      <x:c r="D24" s="14" t="n">
        <x:v>0.9143352726831958</x:v>
      </x:c>
      <x:c r="E24" s="15" t="n">
        <x:v>2.3472758822414472</x:v>
      </x:c>
      <x:c r="F24" s="15" t="n">
        <x:v>45.60465425268141</x:v>
      </x:c>
      <x:c r="G24" s="25" t="n">
        <x:f>SUMIFS('R1-R3明细'!$E$7:$E$126,'R1-R3明细'!$A$7:$A$126,A24,'R1-R3明细'!$D$7:$D$126,C24)</x:f>
        <x:v>819695</x:v>
      </x:c>
      <x:c r="H24" s="18" t="n">
        <x:f>D24-SUMIFS($D$7:$D$46,$A$7:$A$46,A24,$K$7:$K$46,"B2_multihop")</x:f>
        <x:v>0.0013411319089720042</x:v>
      </x:c>
      <x:c r="I24" s="18" t="n">
        <x:f>D24-SUMIFS($D$7:$D$46,$A$7:$A$46,A24,$K$7:$K$46,"Direct_multihop")</x:f>
        <x:v>0</x:v>
      </x:c>
      <x:c r="J24" s="18" t="n">
        <x:f>D24-SUMIFS($D$7:$D$46,$A$7:$A$46,A24,$K$7:$K$46,"Fusion_mean50")</x:f>
        <x:v>-0.000543360475771193</x:v>
      </x:c>
      <x:c r="K24" s="3" t="str">
        <x:v>Direct_multihop</x:v>
      </x:c>
    </x:row>
    <x:row r="25" ht="25" customHeight="1">
      <x:c r="A25" s="3" t="str">
        <x:v>D7_I405_N</x:v>
      </x:c>
      <x:c r="B25" s="3" t="str">
        <x:v>D7_I405</x:v>
      </x:c>
      <x:c r="C25" s="3" t="str">
        <x:v>50%等权融合</x:v>
      </x:c>
      <x:c r="D25" s="14" t="n">
        <x:v>0.914878633158967</x:v>
      </x:c>
      <x:c r="E25" s="15" t="n">
        <x:v>2.3275934961411693</x:v>
      </x:c>
      <x:c r="F25" s="15" t="n">
        <x:v>45.4504530318049</x:v>
      </x:c>
      <x:c r="G25" s="25" t="n">
        <x:f>SUMIFS('R1-R3明细'!$E$7:$E$126,'R1-R3明细'!$A$7:$A$126,A25,'R1-R3明细'!$D$7:$D$126,C25)</x:f>
        <x:v>819695</x:v>
      </x:c>
      <x:c r="H25" s="18" t="n">
        <x:f>D25-SUMIFS($D$7:$D$46,$A$7:$A$46,A25,$K$7:$K$46,"B2_multihop")</x:f>
        <x:v>0.0018844923847431971</x:v>
      </x:c>
      <x:c r="I25" s="18" t="n">
        <x:f>D25-SUMIFS($D$7:$D$46,$A$7:$A$46,A25,$K$7:$K$46,"Direct_multihop")</x:f>
        <x:v>0.000543360475771193</x:v>
      </x:c>
      <x:c r="J25" s="18" t="n">
        <x:f>D25-SUMIFS($D$7:$D$46,$A$7:$A$46,A25,$K$7:$K$46,"Fusion_mean50")</x:f>
        <x:v>0</x:v>
      </x:c>
      <x:c r="K25" s="3" t="str">
        <x:v>Fusion_mean50</x:v>
      </x:c>
    </x:row>
    <x:row r="26" ht="25" customHeight="1">
      <x:c r="A26" s="3" t="str">
        <x:v>D7_I405_N</x:v>
      </x:c>
      <x:c r="B26" s="3" t="str">
        <x:v>D7_I405</x:v>
      </x:c>
      <x:c r="C26" s="3" t="str">
        <x:v>60分钟切换融合</x:v>
      </x:c>
      <x:c r="D26" s="14" t="n">
        <x:v>0.9150510860888365</x:v>
      </x:c>
      <x:c r="E26" s="15" t="n">
        <x:v>2.3209850185429572</x:v>
      </x:c>
      <x:c r="F26" s="15" t="n">
        <x:v>45.41170110082928</x:v>
      </x:c>
      <x:c r="G26" s="25" t="n">
        <x:f>SUMIFS('R1-R3明细'!$E$7:$E$126,'R1-R3明细'!$A$7:$A$126,A26,'R1-R3明细'!$D$7:$D$126,C26)</x:f>
        <x:v>819695</x:v>
      </x:c>
      <x:c r="H26" s="18" t="n">
        <x:f>D26-SUMIFS($D$7:$D$46,$A$7:$A$46,A26,$K$7:$K$46,"B2_multihop")</x:f>
        <x:v>0.002056945314612646</x:v>
      </x:c>
      <x:c r="I26" s="18" t="n">
        <x:f>D26-SUMIFS($D$7:$D$46,$A$7:$A$46,A26,$K$7:$K$46,"Direct_multihop")</x:f>
        <x:v>0.0007158134056406418</x:v>
      </x:c>
      <x:c r="J26" s="18" t="n">
        <x:f>D26-SUMIFS($D$7:$D$46,$A$7:$A$46,A26,$K$7:$K$46,"Fusion_mean50")</x:f>
        <x:v>0.00017245292986944882</x:v>
      </x:c>
      <x:c r="K26" s="3" t="str">
        <x:v>Fusion_gap60mean</x:v>
      </x:c>
    </x:row>
    <x:row r="27" ht="25" customHeight="1">
      <x:c r="A27" s="3" t="str">
        <x:v>D7_I405_S</x:v>
      </x:c>
      <x:c r="B27" s="3" t="str">
        <x:v>D7_I405</x:v>
      </x:c>
      <x:c r="C27" s="3" t="str">
        <x:v>多跳残差</x:v>
      </x:c>
      <x:c r="D27" s="14" t="n">
        <x:v>0.9050649273934676</x:v>
      </x:c>
      <x:c r="E27" s="15" t="n">
        <x:v>2.938169811245904</x:v>
      </x:c>
      <x:c r="F27" s="15" t="n">
        <x:v>41.04861480472306</x:v>
      </x:c>
      <x:c r="G27" s="25" t="n">
        <x:f>SUMIFS('R1-R3明细'!$E$7:$E$126,'R1-R3明细'!$A$7:$A$126,A27,'R1-R3明细'!$D$7:$D$126,C27)</x:f>
        <x:v>234798</x:v>
      </x:c>
      <x:c r="H27" s="18" t="n">
        <x:f>D27-SUMIFS($D$7:$D$46,$A$7:$A$46,A27,$K$7:$K$46,"B2_multihop")</x:f>
        <x:v>0</x:v>
      </x:c>
      <x:c r="I27" s="18" t="n">
        <x:f>D27-SUMIFS($D$7:$D$46,$A$7:$A$46,A27,$K$7:$K$46,"Direct_multihop")</x:f>
        <x:v>0.0005546733362707945</x:v>
      </x:c>
      <x:c r="J27" s="18" t="n">
        <x:f>D27-SUMIFS($D$7:$D$46,$A$7:$A$46,A27,$K$7:$K$46,"Fusion_mean50")</x:f>
        <x:v>-0.0006260135597982996</x:v>
      </x:c>
      <x:c r="K27" s="3" t="str">
        <x:v>B2_multihop</x:v>
      </x:c>
    </x:row>
    <x:row r="28" ht="25" customHeight="1">
      <x:c r="A28" s="3" t="str">
        <x:v>D7_I405_S</x:v>
      </x:c>
      <x:c r="B28" s="3" t="str">
        <x:v>D7_I405</x:v>
      </x:c>
      <x:c r="C28" s="3" t="str">
        <x:v>多跳直接</x:v>
      </x:c>
      <x:c r="D28" s="14" t="n">
        <x:v>0.9045102540571968</x:v>
      </x:c>
      <x:c r="E28" s="15" t="n">
        <x:v>2.958148976339911</x:v>
      </x:c>
      <x:c r="F28" s="15" t="n">
        <x:v>41.20921050503642</x:v>
      </x:c>
      <x:c r="G28" s="25" t="n">
        <x:f>SUMIFS('R1-R3明细'!$E$7:$E$126,'R1-R3明细'!$A$7:$A$126,A28,'R1-R3明细'!$D$7:$D$126,C28)</x:f>
        <x:v>234798</x:v>
      </x:c>
      <x:c r="H28" s="18" t="n">
        <x:f>D28-SUMIFS($D$7:$D$46,$A$7:$A$46,A28,$K$7:$K$46,"B2_multihop")</x:f>
        <x:v>-0.0005546733362707945</x:v>
      </x:c>
      <x:c r="I28" s="18" t="n">
        <x:f>D28-SUMIFS($D$7:$D$46,$A$7:$A$46,A28,$K$7:$K$46,"Direct_multihop")</x:f>
        <x:v>0</x:v>
      </x:c>
      <x:c r="J28" s="18" t="n">
        <x:f>D28-SUMIFS($D$7:$D$46,$A$7:$A$46,A28,$K$7:$K$46,"Fusion_mean50")</x:f>
        <x:v>-0.0011806868960690942</x:v>
      </x:c>
      <x:c r="K28" s="3" t="str">
        <x:v>Direct_multihop</x:v>
      </x:c>
    </x:row>
    <x:row r="29" ht="25" customHeight="1">
      <x:c r="A29" s="3" t="str">
        <x:v>D7_I405_S</x:v>
      </x:c>
      <x:c r="B29" s="3" t="str">
        <x:v>D7_I405</x:v>
      </x:c>
      <x:c r="C29" s="3" t="str">
        <x:v>50%等权融合</x:v>
      </x:c>
      <x:c r="D29" s="14" t="n">
        <x:v>0.9056909409532659</x:v>
      </x:c>
      <x:c r="E29" s="15" t="n">
        <x:v>2.914671236842358</x:v>
      </x:c>
      <x:c r="F29" s="15" t="n">
        <x:v>40.89412217079033</x:v>
      </x:c>
      <x:c r="G29" s="25" t="n">
        <x:f>SUMIFS('R1-R3明细'!$E$7:$E$126,'R1-R3明细'!$A$7:$A$126,A29,'R1-R3明细'!$D$7:$D$126,C29)</x:f>
        <x:v>234798</x:v>
      </x:c>
      <x:c r="H29" s="18" t="n">
        <x:f>D29-SUMIFS($D$7:$D$46,$A$7:$A$46,A29,$K$7:$K$46,"B2_multihop")</x:f>
        <x:v>0.0006260135597982996</x:v>
      </x:c>
      <x:c r="I29" s="18" t="n">
        <x:f>D29-SUMIFS($D$7:$D$46,$A$7:$A$46,A29,$K$7:$K$46,"Direct_multihop")</x:f>
        <x:v>0.0011806868960690942</x:v>
      </x:c>
      <x:c r="J29" s="18" t="n">
        <x:f>D29-SUMIFS($D$7:$D$46,$A$7:$A$46,A29,$K$7:$K$46,"Fusion_mean50")</x:f>
        <x:v>0</x:v>
      </x:c>
      <x:c r="K29" s="3" t="str">
        <x:v>Fusion_mean50</x:v>
      </x:c>
    </x:row>
    <x:row r="30" ht="25" customHeight="1">
      <x:c r="A30" s="3" t="str">
        <x:v>D7_I405_S</x:v>
      </x:c>
      <x:c r="B30" s="3" t="str">
        <x:v>D7_I405</x:v>
      </x:c>
      <x:c r="C30" s="3" t="str">
        <x:v>60分钟切换融合</x:v>
      </x:c>
      <x:c r="D30" s="14" t="n">
        <x:v>0.9059368581392909</x:v>
      </x:c>
      <x:c r="E30" s="15" t="n">
        <x:v>2.9030914773503356</x:v>
      </x:c>
      <x:c r="F30" s="15" t="n">
        <x:v>40.89960776079369</x:v>
      </x:c>
      <x:c r="G30" s="25" t="n">
        <x:f>SUMIFS('R1-R3明细'!$E$7:$E$126,'R1-R3明细'!$A$7:$A$126,A30,'R1-R3明细'!$D$7:$D$126,C30)</x:f>
        <x:v>234798</x:v>
      </x:c>
      <x:c r="H30" s="18" t="n">
        <x:f>D30-SUMIFS($D$7:$D$46,$A$7:$A$46,A30,$K$7:$K$46,"B2_multihop")</x:f>
        <x:v>0.0008719307458233683</x:v>
      </x:c>
      <x:c r="I30" s="18" t="n">
        <x:f>D30-SUMIFS($D$7:$D$46,$A$7:$A$46,A30,$K$7:$K$46,"Direct_multihop")</x:f>
        <x:v>0.0014266040820941628</x:v>
      </x:c>
      <x:c r="J30" s="18" t="n">
        <x:f>D30-SUMIFS($D$7:$D$46,$A$7:$A$46,A30,$K$7:$K$46,"Fusion_mean50")</x:f>
        <x:v>0.0002459171860250686</x:v>
      </x:c>
      <x:c r="K30" s="3" t="str">
        <x:v>Fusion_gap60mean</x:v>
      </x:c>
    </x:row>
    <x:row r="31" ht="25" customHeight="1">
      <x:c r="A31" s="3" t="str">
        <x:v>D12_I5_N</x:v>
      </x:c>
      <x:c r="B31" s="3" t="str">
        <x:v>D12_I5</x:v>
      </x:c>
      <x:c r="C31" s="3" t="str">
        <x:v>多跳残差</x:v>
      </x:c>
      <x:c r="D31" s="14" t="n">
        <x:v>0.925986283090204</x:v>
      </x:c>
      <x:c r="E31" s="15" t="n">
        <x:v>2.1314360898382536</x:v>
      </x:c>
      <x:c r="F31" s="15" t="n">
        <x:v>36.48873569907362</x:v>
      </x:c>
      <x:c r="G31" s="25" t="n">
        <x:f>SUMIFS('R1-R3明细'!$E$7:$E$126,'R1-R3明细'!$A$7:$A$126,A31,'R1-R3明细'!$D$7:$D$126,C31)</x:f>
        <x:v>550149</x:v>
      </x:c>
      <x:c r="H31" s="18" t="n">
        <x:f>D31-SUMIFS($D$7:$D$46,$A$7:$A$46,A31,$K$7:$K$46,"B2_multihop")</x:f>
        <x:v>0</x:v>
      </x:c>
      <x:c r="I31" s="18" t="n">
        <x:f>D31-SUMIFS($D$7:$D$46,$A$7:$A$46,A31,$K$7:$K$46,"Direct_multihop")</x:f>
        <x:v>-0.000048794971117871455</x:v>
      </x:c>
      <x:c r="J31" s="18" t="n">
        <x:f>D31-SUMIFS($D$7:$D$46,$A$7:$A$46,A31,$K$7:$K$46,"Fusion_mean50")</x:f>
        <x:v>-0.0018369414001173645</x:v>
      </x:c>
      <x:c r="K31" s="3" t="str">
        <x:v>B2_multihop</x:v>
      </x:c>
    </x:row>
    <x:row r="32" ht="25" customHeight="1">
      <x:c r="A32" s="3" t="str">
        <x:v>D12_I5_N</x:v>
      </x:c>
      <x:c r="B32" s="3" t="str">
        <x:v>D12_I5</x:v>
      </x:c>
      <x:c r="C32" s="3" t="str">
        <x:v>多跳直接</x:v>
      </x:c>
      <x:c r="D32" s="14" t="n">
        <x:v>0.9260350780613219</x:v>
      </x:c>
      <x:c r="E32" s="15" t="n">
        <x:v>2.1355464001867555</x:v>
      </x:c>
      <x:c r="F32" s="15" t="n">
        <x:v>36.30928655823154</x:v>
      </x:c>
      <x:c r="G32" s="25" t="n">
        <x:f>SUMIFS('R1-R3明细'!$E$7:$E$126,'R1-R3明细'!$A$7:$A$126,A32,'R1-R3明细'!$D$7:$D$126,C32)</x:f>
        <x:v>550149</x:v>
      </x:c>
      <x:c r="H32" s="18" t="n">
        <x:f>D32-SUMIFS($D$7:$D$46,$A$7:$A$46,A32,$K$7:$K$46,"B2_multihop")</x:f>
        <x:v>0.000048794971117871455</x:v>
      </x:c>
      <x:c r="I32" s="18" t="n">
        <x:f>D32-SUMIFS($D$7:$D$46,$A$7:$A$46,A32,$K$7:$K$46,"Direct_multihop")</x:f>
        <x:v>0</x:v>
      </x:c>
      <x:c r="J32" s="18" t="n">
        <x:f>D32-SUMIFS($D$7:$D$46,$A$7:$A$46,A32,$K$7:$K$46,"Fusion_mean50")</x:f>
        <x:v>-0.001788146428999493</x:v>
      </x:c>
      <x:c r="K32" s="3" t="str">
        <x:v>Direct_multihop</x:v>
      </x:c>
    </x:row>
    <x:row r="33" ht="25" customHeight="1">
      <x:c r="A33" s="3" t="str">
        <x:v>D12_I5_N</x:v>
      </x:c>
      <x:c r="B33" s="3" t="str">
        <x:v>D12_I5</x:v>
      </x:c>
      <x:c r="C33" s="3" t="str">
        <x:v>50%等权融合</x:v>
      </x:c>
      <x:c r="D33" s="14" t="n">
        <x:v>0.9278232244903214</x:v>
      </x:c>
      <x:c r="E33" s="15" t="n">
        <x:v>2.0604103550588873</x:v>
      </x:c>
      <x:c r="F33" s="15" t="n">
        <x:v>36.09379805270439</x:v>
      </x:c>
      <x:c r="G33" s="25" t="n">
        <x:f>SUMIFS('R1-R3明细'!$E$7:$E$126,'R1-R3明细'!$A$7:$A$126,A33,'R1-R3明细'!$D$7:$D$126,C33)</x:f>
        <x:v>550149</x:v>
      </x:c>
      <x:c r="H33" s="18" t="n">
        <x:f>D33-SUMIFS($D$7:$D$46,$A$7:$A$46,A33,$K$7:$K$46,"B2_multihop")</x:f>
        <x:v>0.0018369414001173645</x:v>
      </x:c>
      <x:c r="I33" s="18" t="n">
        <x:f>D33-SUMIFS($D$7:$D$46,$A$7:$A$46,A33,$K$7:$K$46,"Direct_multihop")</x:f>
        <x:v>0.001788146428999493</x:v>
      </x:c>
      <x:c r="J33" s="18" t="n">
        <x:f>D33-SUMIFS($D$7:$D$46,$A$7:$A$46,A33,$K$7:$K$46,"Fusion_mean50")</x:f>
        <x:v>0</x:v>
      </x:c>
      <x:c r="K33" s="3" t="str">
        <x:v>Fusion_mean50</x:v>
      </x:c>
    </x:row>
    <x:row r="34" ht="25" customHeight="1">
      <x:c r="A34" s="3" t="str">
        <x:v>D12_I5_N</x:v>
      </x:c>
      <x:c r="B34" s="3" t="str">
        <x:v>D12_I5</x:v>
      </x:c>
      <x:c r="C34" s="3" t="str">
        <x:v>60分钟切换融合</x:v>
      </x:c>
      <x:c r="D34" s="14" t="n">
        <x:v>0.928029407607709</x:v>
      </x:c>
      <x:c r="E34" s="15" t="n">
        <x:v>2.052741879471401</x:v>
      </x:c>
      <x:c r="F34" s="15" t="n">
        <x:v>36.04091451614188</x:v>
      </x:c>
      <x:c r="G34" s="25" t="n">
        <x:f>SUMIFS('R1-R3明细'!$E$7:$E$126,'R1-R3明细'!$A$7:$A$126,A34,'R1-R3明细'!$D$7:$D$126,C34)</x:f>
        <x:v>550149</x:v>
      </x:c>
      <x:c r="H34" s="18" t="n">
        <x:f>D34-SUMIFS($D$7:$D$46,$A$7:$A$46,A34,$K$7:$K$46,"B2_multihop")</x:f>
        <x:v>0.0020431245175049906</x:v>
      </x:c>
      <x:c r="I34" s="18" t="n">
        <x:f>D34-SUMIFS($D$7:$D$46,$A$7:$A$46,A34,$K$7:$K$46,"Direct_multihop")</x:f>
        <x:v>0.001994329546387119</x:v>
      </x:c>
      <x:c r="J34" s="18" t="n">
        <x:f>D34-SUMIFS($D$7:$D$46,$A$7:$A$46,A34,$K$7:$K$46,"Fusion_mean50")</x:f>
        <x:v>0.00020618311738762607</x:v>
      </x:c>
      <x:c r="K34" s="3" t="str">
        <x:v>Fusion_gap60mean</x:v>
      </x:c>
    </x:row>
    <x:row r="35" ht="25" customHeight="1">
      <x:c r="A35" s="3" t="str">
        <x:v>D12_I5_S</x:v>
      </x:c>
      <x:c r="B35" s="3" t="str">
        <x:v>D12_I5</x:v>
      </x:c>
      <x:c r="C35" s="3" t="str">
        <x:v>多跳残差</x:v>
      </x:c>
      <x:c r="D35" s="14" t="n">
        <x:v>0.91204061593861</x:v>
      </x:c>
      <x:c r="E35" s="15" t="n">
        <x:v>2.6856249383675377</x:v>
      </x:c>
      <x:c r="F35" s="15" t="n">
        <x:v>39.065067903458306</x:v>
      </x:c>
      <x:c r="G35" s="25" t="n">
        <x:f>SUMIFS('R1-R3明细'!$E$7:$E$126,'R1-R3明细'!$A$7:$A$126,A35,'R1-R3明细'!$D$7:$D$126,C35)</x:f>
        <x:v>230438</x:v>
      </x:c>
      <x:c r="H35" s="18" t="n">
        <x:f>D35-SUMIFS($D$7:$D$46,$A$7:$A$46,A35,$K$7:$K$46,"B2_multihop")</x:f>
        <x:v>0</x:v>
      </x:c>
      <x:c r="I35" s="18" t="n">
        <x:f>D35-SUMIFS($D$7:$D$46,$A$7:$A$46,A35,$K$7:$K$46,"Direct_multihop")</x:f>
        <x:v>0.000424189555917609</x:v>
      </x:c>
      <x:c r="J35" s="18" t="n">
        <x:f>D35-SUMIFS($D$7:$D$46,$A$7:$A$46,A35,$K$7:$K$46,"Fusion_mean50")</x:f>
        <x:v>-0.0006493400200789923</x:v>
      </x:c>
      <x:c r="K35" s="3" t="str">
        <x:v>B2_multihop</x:v>
      </x:c>
    </x:row>
    <x:row r="36" ht="25" customHeight="1">
      <x:c r="A36" s="3" t="str">
        <x:v>D12_I5_S</x:v>
      </x:c>
      <x:c r="B36" s="3" t="str">
        <x:v>D12_I5</x:v>
      </x:c>
      <x:c r="C36" s="3" t="str">
        <x:v>多跳直接</x:v>
      </x:c>
      <x:c r="D36" s="14" t="n">
        <x:v>0.9116164263826924</x:v>
      </x:c>
      <x:c r="E36" s="15" t="n">
        <x:v>2.7004618502570508</x:v>
      </x:c>
      <x:c r="F36" s="15" t="n">
        <x:v>39.20034476315907</x:v>
      </x:c>
      <x:c r="G36" s="25" t="n">
        <x:f>SUMIFS('R1-R3明细'!$E$7:$E$126,'R1-R3明细'!$A$7:$A$126,A36,'R1-R3明细'!$D$7:$D$126,C36)</x:f>
        <x:v>230438</x:v>
      </x:c>
      <x:c r="H36" s="18" t="n">
        <x:f>D36-SUMIFS($D$7:$D$46,$A$7:$A$46,A36,$K$7:$K$46,"B2_multihop")</x:f>
        <x:v>-0.000424189555917609</x:v>
      </x:c>
      <x:c r="I36" s="18" t="n">
        <x:f>D36-SUMIFS($D$7:$D$46,$A$7:$A$46,A36,$K$7:$K$46,"Direct_multihop")</x:f>
        <x:v>0</x:v>
      </x:c>
      <x:c r="J36" s="18" t="n">
        <x:f>D36-SUMIFS($D$7:$D$46,$A$7:$A$46,A36,$K$7:$K$46,"Fusion_mean50")</x:f>
        <x:v>-0.0010735295759966013</x:v>
      </x:c>
      <x:c r="K36" s="3" t="str">
        <x:v>Direct_multihop</x:v>
      </x:c>
    </x:row>
    <x:row r="37" ht="25" customHeight="1">
      <x:c r="A37" s="3" t="str">
        <x:v>D12_I5_S</x:v>
      </x:c>
      <x:c r="B37" s="3" t="str">
        <x:v>D12_I5</x:v>
      </x:c>
      <x:c r="C37" s="3" t="str">
        <x:v>50%等权融合</x:v>
      </x:c>
      <x:c r="D37" s="14" t="n">
        <x:v>0.912689955958689</x:v>
      </x:c>
      <x:c r="E37" s="15" t="n">
        <x:v>2.66310834471869</x:v>
      </x:c>
      <x:c r="F37" s="15" t="n">
        <x:v>38.852483211374896</x:v>
      </x:c>
      <x:c r="G37" s="25" t="n">
        <x:f>SUMIFS('R1-R3明细'!$E$7:$E$126,'R1-R3明细'!$A$7:$A$126,A37,'R1-R3明细'!$D$7:$D$126,C37)</x:f>
        <x:v>230438</x:v>
      </x:c>
      <x:c r="H37" s="18" t="n">
        <x:f>D37-SUMIFS($D$7:$D$46,$A$7:$A$46,A37,$K$7:$K$46,"B2_multihop")</x:f>
        <x:v>0.0006493400200789923</x:v>
      </x:c>
      <x:c r="I37" s="18" t="n">
        <x:f>D37-SUMIFS($D$7:$D$46,$A$7:$A$46,A37,$K$7:$K$46,"Direct_multihop")</x:f>
        <x:v>0.0010735295759966013</x:v>
      </x:c>
      <x:c r="J37" s="18" t="n">
        <x:f>D37-SUMIFS($D$7:$D$46,$A$7:$A$46,A37,$K$7:$K$46,"Fusion_mean50")</x:f>
        <x:v>0</x:v>
      </x:c>
      <x:c r="K37" s="3" t="str">
        <x:v>Fusion_mean50</x:v>
      </x:c>
    </x:row>
    <x:row r="38" ht="25" customHeight="1">
      <x:c r="A38" s="3" t="str">
        <x:v>D12_I5_S</x:v>
      </x:c>
      <x:c r="B38" s="3" t="str">
        <x:v>D12_I5</x:v>
      </x:c>
      <x:c r="C38" s="3" t="str">
        <x:v>60分钟切换融合</x:v>
      </x:c>
      <x:c r="D38" s="14" t="n">
        <x:v>0.9128709287397804</x:v>
      </x:c>
      <x:c r="E38" s="15" t="n">
        <x:v>2.6562155221266366</x:v>
      </x:c>
      <x:c r="F38" s="15" t="n">
        <x:v>38.810629542110036</x:v>
      </x:c>
      <x:c r="G38" s="25" t="n">
        <x:f>SUMIFS('R1-R3明细'!$E$7:$E$126,'R1-R3明细'!$A$7:$A$126,A38,'R1-R3明细'!$D$7:$D$126,C38)</x:f>
        <x:v>230438</x:v>
      </x:c>
      <x:c r="H38" s="18" t="n">
        <x:f>D38-SUMIFS($D$7:$D$46,$A$7:$A$46,A38,$K$7:$K$46,"B2_multihop")</x:f>
        <x:v>0.0008303128011704075</x:v>
      </x:c>
      <x:c r="I38" s="18" t="n">
        <x:f>D38-SUMIFS($D$7:$D$46,$A$7:$A$46,A38,$K$7:$K$46,"Direct_multihop")</x:f>
        <x:v>0.0012545023570880165</x:v>
      </x:c>
      <x:c r="J38" s="18" t="n">
        <x:f>D38-SUMIFS($D$7:$D$46,$A$7:$A$46,A38,$K$7:$K$46,"Fusion_mean50")</x:f>
        <x:v>0.00018097278109141524</x:v>
      </x:c>
      <x:c r="K38" s="3" t="str">
        <x:v>Fusion_gap60mean</x:v>
      </x:c>
    </x:row>
    <x:row r="39" ht="25" customHeight="1">
      <x:c r="A39" s="3" t="str">
        <x:v>D12_I405_N</x:v>
      </x:c>
      <x:c r="B39" s="3" t="str">
        <x:v>D12_I405</x:v>
      </x:c>
      <x:c r="C39" s="3" t="str">
        <x:v>多跳残差</x:v>
      </x:c>
      <x:c r="D39" s="14" t="n">
        <x:v>0.9455408990177713</x:v>
      </x:c>
      <x:c r="E39" s="15" t="n">
        <x:v>1.4956071641420359</x:v>
      </x:c>
      <x:c r="F39" s="15" t="n">
        <x:v>28.89650378707921</x:v>
      </x:c>
      <x:c r="G39" s="25" t="n">
        <x:f>SUMIFS('R1-R3明细'!$E$7:$E$126,'R1-R3明细'!$A$7:$A$126,A39,'R1-R3明细'!$D$7:$D$126,C39)</x:f>
        <x:v>189736</x:v>
      </x:c>
      <x:c r="H39" s="18" t="n">
        <x:f>D39-SUMIFS($D$7:$D$46,$A$7:$A$46,A39,$K$7:$K$46,"B2_multihop")</x:f>
        <x:v>0</x:v>
      </x:c>
      <x:c r="I39" s="18" t="n">
        <x:f>D39-SUMIFS($D$7:$D$46,$A$7:$A$46,A39,$K$7:$K$46,"Direct_multihop")</x:f>
        <x:v>-0.0019689734559911187</x:v>
      </x:c>
      <x:c r="J39" s="18" t="n">
        <x:f>D39-SUMIFS($D$7:$D$46,$A$7:$A$46,A39,$K$7:$K$46,"Fusion_mean50")</x:f>
        <x:v>-0.002171509027556473</x:v>
      </x:c>
      <x:c r="K39" s="3" t="str">
        <x:v>B2_multihop</x:v>
      </x:c>
    </x:row>
    <x:row r="40" ht="25" customHeight="1">
      <x:c r="A40" s="3" t="str">
        <x:v>D12_I405_N</x:v>
      </x:c>
      <x:c r="B40" s="3" t="str">
        <x:v>D12_I405</x:v>
      </x:c>
      <x:c r="C40" s="3" t="str">
        <x:v>多跳直接</x:v>
      </x:c>
      <x:c r="D40" s="14" t="n">
        <x:v>0.9475098724737624</x:v>
      </x:c>
      <x:c r="E40" s="15" t="n">
        <x:v>1.404324495490509</x:v>
      </x:c>
      <x:c r="F40" s="15" t="n">
        <x:v>28.900067509099085</x:v>
      </x:c>
      <x:c r="G40" s="25" t="n">
        <x:f>SUMIFS('R1-R3明细'!$E$7:$E$126,'R1-R3明细'!$A$7:$A$126,A40,'R1-R3明细'!$D$7:$D$126,C40)</x:f>
        <x:v>189736</x:v>
      </x:c>
      <x:c r="H40" s="18" t="n">
        <x:f>D40-SUMIFS($D$7:$D$46,$A$7:$A$46,A40,$K$7:$K$46,"B2_multihop")</x:f>
        <x:v>0.0019689734559911187</x:v>
      </x:c>
      <x:c r="I40" s="18" t="n">
        <x:f>D40-SUMIFS($D$7:$D$46,$A$7:$A$46,A40,$K$7:$K$46,"Direct_multihop")</x:f>
        <x:v>0</x:v>
      </x:c>
      <x:c r="J40" s="18" t="n">
        <x:f>D40-SUMIFS($D$7:$D$46,$A$7:$A$46,A40,$K$7:$K$46,"Fusion_mean50")</x:f>
        <x:v>-0.0002025355715653543</x:v>
      </x:c>
      <x:c r="K40" s="3" t="str">
        <x:v>Direct_multihop</x:v>
      </x:c>
    </x:row>
    <x:row r="41" ht="25" customHeight="1">
      <x:c r="A41" s="3" t="str">
        <x:v>D12_I405_N</x:v>
      </x:c>
      <x:c r="B41" s="3" t="str">
        <x:v>D12_I405</x:v>
      </x:c>
      <x:c r="C41" s="3" t="str">
        <x:v>50%等权融合</x:v>
      </x:c>
      <x:c r="D41" s="14" t="n">
        <x:v>0.9477124080453277</x:v>
      </x:c>
      <x:c r="E41" s="15" t="n">
        <x:v>1.4045444269288867</x:v>
      </x:c>
      <x:c r="F41" s="15" t="n">
        <x:v>28.62969434740214</x:v>
      </x:c>
      <x:c r="G41" s="25" t="n">
        <x:f>SUMIFS('R1-R3明细'!$E$7:$E$126,'R1-R3明细'!$A$7:$A$126,A41,'R1-R3明细'!$D$7:$D$126,C41)</x:f>
        <x:v>189736</x:v>
      </x:c>
      <x:c r="H41" s="18" t="n">
        <x:f>D41-SUMIFS($D$7:$D$46,$A$7:$A$46,A41,$K$7:$K$46,"B2_multihop")</x:f>
        <x:v>0.002171509027556473</x:v>
      </x:c>
      <x:c r="I41" s="18" t="n">
        <x:f>D41-SUMIFS($D$7:$D$46,$A$7:$A$46,A41,$K$7:$K$46,"Direct_multihop")</x:f>
        <x:v>0.0002025355715653543</x:v>
      </x:c>
      <x:c r="J41" s="18" t="n">
        <x:f>D41-SUMIFS($D$7:$D$46,$A$7:$A$46,A41,$K$7:$K$46,"Fusion_mean50")</x:f>
        <x:v>0</x:v>
      </x:c>
      <x:c r="K41" s="3" t="str">
        <x:v>Fusion_mean50</x:v>
      </x:c>
    </x:row>
    <x:row r="42" ht="25" customHeight="1">
      <x:c r="A42" s="3" t="str">
        <x:v>D12_I405_N</x:v>
      </x:c>
      <x:c r="B42" s="3" t="str">
        <x:v>D12_I405</x:v>
      </x:c>
      <x:c r="C42" s="3" t="str">
        <x:v>60分钟切换融合</x:v>
      </x:c>
      <x:c r="D42" s="14" t="n">
        <x:v>0.9477412123641122</x:v>
      </x:c>
      <x:c r="E42" s="15" t="n">
        <x:v>1.4050269672058606</x:v>
      </x:c>
      <x:c r="F42" s="15" t="n">
        <x:v>28.578528449010303</x:v>
      </x:c>
      <x:c r="G42" s="25" t="n">
        <x:f>SUMIFS('R1-R3明细'!$E$7:$E$126,'R1-R3明细'!$A$7:$A$126,A42,'R1-R3明细'!$D$7:$D$126,C42)</x:f>
        <x:v>189736</x:v>
      </x:c>
      <x:c r="H42" s="18" t="n">
        <x:f>D42-SUMIFS($D$7:$D$46,$A$7:$A$46,A42,$K$7:$K$46,"B2_multihop")</x:f>
        <x:v>0.002200313346340965</x:v>
      </x:c>
      <x:c r="I42" s="18" t="n">
        <x:f>D42-SUMIFS($D$7:$D$46,$A$7:$A$46,A42,$K$7:$K$46,"Direct_multihop")</x:f>
        <x:v>0.00023133989034984648</x:v>
      </x:c>
      <x:c r="J42" s="18" t="n">
        <x:f>D42-SUMIFS($D$7:$D$46,$A$7:$A$46,A42,$K$7:$K$46,"Fusion_mean50")</x:f>
        <x:v>0.00002880431878449219</x:v>
      </x:c>
      <x:c r="K42" s="3" t="str">
        <x:v>Fusion_gap60mean</x:v>
      </x:c>
    </x:row>
    <x:row r="43" ht="25" customHeight="1">
      <x:c r="A43" s="3" t="str">
        <x:v>D12_I405_S</x:v>
      </x:c>
      <x:c r="B43" s="3" t="str">
        <x:v>D12_I405</x:v>
      </x:c>
      <x:c r="C43" s="3" t="str">
        <x:v>多跳残差</x:v>
      </x:c>
      <x:c r="D43" s="14" t="n">
        <x:v>0.9223228443647606</x:v>
      </x:c>
      <x:c r="E43" s="15" t="n">
        <x:v>1.9403744240853917</x:v>
      </x:c>
      <x:c r="F43" s="15" t="n">
        <x:v>46.65008879347179</x:v>
      </x:c>
      <x:c r="G43" s="25" t="n">
        <x:f>SUMIFS('R1-R3明细'!$E$7:$E$126,'R1-R3明细'!$A$7:$A$126,A43,'R1-R3明细'!$D$7:$D$126,C43)</x:f>
        <x:v>109354</x:v>
      </x:c>
      <x:c r="H43" s="18" t="n">
        <x:f>D43-SUMIFS($D$7:$D$46,$A$7:$A$46,A43,$K$7:$K$46,"B2_multihop")</x:f>
        <x:v>0</x:v>
      </x:c>
      <x:c r="I43" s="18" t="n">
        <x:f>D43-SUMIFS($D$7:$D$46,$A$7:$A$46,A43,$K$7:$K$46,"Direct_multihop")</x:f>
        <x:v>-0.0009067929293790078</x:v>
      </x:c>
      <x:c r="J43" s="18" t="n">
        <x:f>D43-SUMIFS($D$7:$D$46,$A$7:$A$46,A43,$K$7:$K$46,"Fusion_mean50")</x:f>
        <x:v>-0.001235522326798022</x:v>
      </x:c>
      <x:c r="K43" s="3" t="str">
        <x:v>B2_multihop</x:v>
      </x:c>
    </x:row>
    <x:row r="44" ht="25" customHeight="1">
      <x:c r="A44" s="3" t="str">
        <x:v>D12_I405_S</x:v>
      </x:c>
      <x:c r="B44" s="3" t="str">
        <x:v>D12_I405</x:v>
      </x:c>
      <x:c r="C44" s="3" t="str">
        <x:v>多跳直接</x:v>
      </x:c>
      <x:c r="D44" s="14" t="n">
        <x:v>0.9232296372941396</x:v>
      </x:c>
      <x:c r="E44" s="15" t="n">
        <x:v>1.909536307753788</x:v>
      </x:c>
      <x:c r="F44" s="15" t="n">
        <x:v>46.33614581527636</x:v>
      </x:c>
      <x:c r="G44" s="25" t="n">
        <x:f>SUMIFS('R1-R3明细'!$E$7:$E$126,'R1-R3明细'!$A$7:$A$126,A44,'R1-R3明细'!$D$7:$D$126,C44)</x:f>
        <x:v>109354</x:v>
      </x:c>
      <x:c r="H44" s="18" t="n">
        <x:f>D44-SUMIFS($D$7:$D$46,$A$7:$A$46,A44,$K$7:$K$46,"B2_multihop")</x:f>
        <x:v>0.0009067929293790078</x:v>
      </x:c>
      <x:c r="I44" s="18" t="n">
        <x:f>D44-SUMIFS($D$7:$D$46,$A$7:$A$46,A44,$K$7:$K$46,"Direct_multihop")</x:f>
        <x:v>0</x:v>
      </x:c>
      <x:c r="J44" s="18" t="n">
        <x:f>D44-SUMIFS($D$7:$D$46,$A$7:$A$46,A44,$K$7:$K$46,"Fusion_mean50")</x:f>
        <x:v>-0.0003287293974190142</x:v>
      </x:c>
      <x:c r="K44" s="3" t="str">
        <x:v>Direct_multihop</x:v>
      </x:c>
    </x:row>
    <x:row r="45" ht="25" customHeight="1">
      <x:c r="A45" s="3" t="str">
        <x:v>D12_I405_S</x:v>
      </x:c>
      <x:c r="B45" s="3" t="str">
        <x:v>D12_I405</x:v>
      </x:c>
      <x:c r="C45" s="3" t="str">
        <x:v>50%等权融合</x:v>
      </x:c>
      <x:c r="D45" s="14" t="n">
        <x:v>0.9235583666915587</x:v>
      </x:c>
      <x:c r="E45" s="15" t="n">
        <x:v>1.896039119633864</x:v>
      </x:c>
      <x:c r="F45" s="15" t="n">
        <x:v>46.28763694480434</x:v>
      </x:c>
      <x:c r="G45" s="25" t="n">
        <x:f>SUMIFS('R1-R3明细'!$E$7:$E$126,'R1-R3明细'!$A$7:$A$126,A45,'R1-R3明细'!$D$7:$D$126,C45)</x:f>
        <x:v>109354</x:v>
      </x:c>
      <x:c r="H45" s="18" t="n">
        <x:f>D45-SUMIFS($D$7:$D$46,$A$7:$A$46,A45,$K$7:$K$46,"B2_multihop")</x:f>
        <x:v>0.001235522326798022</x:v>
      </x:c>
      <x:c r="I45" s="18" t="n">
        <x:f>D45-SUMIFS($D$7:$D$46,$A$7:$A$46,A45,$K$7:$K$46,"Direct_multihop")</x:f>
        <x:v>0.0003287293974190142</x:v>
      </x:c>
      <x:c r="J45" s="18" t="n">
        <x:f>D45-SUMIFS($D$7:$D$46,$A$7:$A$46,A45,$K$7:$K$46,"Fusion_mean50")</x:f>
        <x:v>0</x:v>
      </x:c>
      <x:c r="K45" s="3" t="str">
        <x:v>Fusion_mean50</x:v>
      </x:c>
    </x:row>
    <x:row r="46" ht="25" customHeight="1">
      <x:c r="A46" s="3" t="str">
        <x:v>D12_I405_S</x:v>
      </x:c>
      <x:c r="B46" s="3" t="str">
        <x:v>D12_I405</x:v>
      </x:c>
      <x:c r="C46" s="3" t="str">
        <x:v>60分钟切换融合</x:v>
      </x:c>
      <x:c r="D46" s="14" t="n">
        <x:v>0.9235546734865698</x:v>
      </x:c>
      <x:c r="E46" s="15" t="n">
        <x:v>1.8981657129352225</x:v>
      </x:c>
      <x:c r="F46" s="15" t="n">
        <x:v>46.23253971395142</x:v>
      </x:c>
      <x:c r="G46" s="25" t="n">
        <x:f>SUMIFS('R1-R3明细'!$E$7:$E$126,'R1-R3明细'!$A$7:$A$126,A46,'R1-R3明细'!$D$7:$D$126,C46)</x:f>
        <x:v>109354</x:v>
      </x:c>
      <x:c r="H46" s="18" t="n">
        <x:f>D46-SUMIFS($D$7:$D$46,$A$7:$A$46,A46,$K$7:$K$46,"B2_multihop")</x:f>
        <x:v>0.0012318291218091915</x:v>
      </x:c>
      <x:c r="I46" s="18" t="n">
        <x:f>D46-SUMIFS($D$7:$D$46,$A$7:$A$46,A46,$K$7:$K$46,"Direct_multihop")</x:f>
        <x:v>0.00032503619243018367</x:v>
      </x:c>
      <x:c r="J46" s="18" t="n">
        <x:f>D46-SUMIFS($D$7:$D$46,$A$7:$A$46,A46,$K$7:$K$46,"Fusion_mean50")</x:f>
        <x:v>-0.000003693204988830523</x:v>
      </x:c>
      <x:c r="K46" s="3" t="str">
        <x:v>Fusion_gap60mean</x:v>
      </x:c>
    </x:row>
  </x:sheetData>
  <x:conditionalFormatting sqref="H7:J46">
    <x:cfRule type="cellIs" dxfId="6" priority="1" operator="greaterThan">
      <x:formula>0</x:formula>
    </x:cfRule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a25b9322c742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3" hidden="0" customWidth="1"/>
    <x:col min="4" max="4" width="23" hidden="0" customWidth="1"/>
    <x:col min="5" max="5" width="17" hidden="0" customWidth="1"/>
    <x:col min="6" max="6" width="20" hidden="0" customWidth="1"/>
    <x:col min="7" max="7" width="24" hidden="0" customWidth="1"/>
    <x:col min="8" max="8" width="17" hidden="0" customWidth="1"/>
    <x:col min="9" max="9" width="17" hidden="0" customWidth="1"/>
    <x:col min="10" max="10" width="18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R1 / R2 / R3 分项指标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6" t="str">
        <x:v>来源 metrics_by_panel_regime.csv。n 为对应 regime 的目标数，流量按车道归一化。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5" customHeight="1">
      <x:c r="A5" s="6" t="str">
        <x:v>实验 all_baseline_resume_20261017_011520_258735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40" customHeight="1">
      <x:c r="A6" s="10" t="str">
        <x:v>道路方向</x:v>
      </x:c>
      <x:c r="B6" s="10" t="str">
        <x:v>走廊家族</x:v>
      </x:c>
      <x:c r="C6" s="10" t="str">
        <x:v>Regime</x:v>
      </x:c>
      <x:c r="D6" s="10" t="str">
        <x:v>方法</x:v>
      </x:c>
      <x:c r="E6" s="10" t="str">
        <x:v>目标数 n</x:v>
      </x:c>
      <x:c r="F6" s="10" t="str">
        <x:v>速度 RMSE
(km/h)</x:v>
      </x:c>
      <x:c r="G6" s="10" t="str">
        <x:v>流量 RMSE
(veh/h/lane)</x:v>
      </x:c>
      <x:c r="H6" s="10" t="str">
        <x:v>速度得分</x:v>
      </x:c>
      <x:c r="I6" s="10" t="str">
        <x:v>流量得分</x:v>
      </x:c>
      <x:c r="J6" s="10" t="str">
        <x:v>综合得分 S_state</x:v>
      </x:c>
    </x:row>
    <x:row r="7" ht="25" customHeight="1">
      <x:c r="A7" s="3" t="str">
        <x:v>D7_I10_E</x:v>
      </x:c>
      <x:c r="B7" s="3" t="str">
        <x:v>D7_I10</x:v>
      </x:c>
      <x:c r="C7" s="3" t="str">
        <x:v>R1</x:v>
      </x:c>
      <x:c r="D7" s="3" t="str">
        <x:v>多跳残差</x:v>
      </x:c>
      <x:c r="E7" s="25" t="n">
        <x:v>63824</x:v>
      </x:c>
      <x:c r="F7" s="15" t="n">
        <x:v>2.0423971499519498</x:v>
      </x:c>
      <x:c r="G7" s="15" t="n">
        <x:v>38.258325510621724</x:v>
      </x:c>
      <x:c r="H7" s="14" t="n">
        <x:v>0.918304114001922</x:v>
      </x:c>
      <x:c r="I7" s="14" t="n">
        <x:v>0.9362361241489638</x:v>
      </x:c>
      <x:c r="J7" s="14" t="n">
        <x:v>0.9265528386695614</x:v>
      </x:c>
    </x:row>
    <x:row r="8" ht="25" customHeight="1">
      <x:c r="A8" s="3" t="str">
        <x:v>D7_I10_E</x:v>
      </x:c>
      <x:c r="B8" s="3" t="str">
        <x:v>D7_I10</x:v>
      </x:c>
      <x:c r="C8" s="3" t="str">
        <x:v>R2</x:v>
      </x:c>
      <x:c r="D8" s="3" t="str">
        <x:v>多跳残差</x:v>
      </x:c>
      <x:c r="E8" s="25" t="n">
        <x:v>145011</x:v>
      </x:c>
      <x:c r="F8" s="15" t="n">
        <x:v>1.9906504543543433</x:v>
      </x:c>
      <x:c r="G8" s="15" t="n">
        <x:v>37.42616644517569</x:v>
      </x:c>
      <x:c r="H8" s="14" t="n">
        <x:v>0.9203739818258263</x:v>
      </x:c>
      <x:c r="I8" s="14" t="n">
        <x:v>0.9376230559247072</x:v>
      </x:c>
      <x:c r="J8" s="14" t="n">
        <x:v>0.9283085559113116</x:v>
      </x:c>
    </x:row>
    <x:row r="9" ht="25" customHeight="1">
      <x:c r="A9" s="3" t="str">
        <x:v>D7_I10_E</x:v>
      </x:c>
      <x:c r="B9" s="3" t="str">
        <x:v>D7_I10</x:v>
      </x:c>
      <x:c r="C9" s="3" t="str">
        <x:v>R3</x:v>
      </x:c>
      <x:c r="D9" s="3" t="str">
        <x:v>多跳残差</x:v>
      </x:c>
      <x:c r="E9" s="25" t="n">
        <x:v>96280</x:v>
      </x:c>
      <x:c r="F9" s="15" t="n">
        <x:v>2.519669396427554</x:v>
      </x:c>
      <x:c r="G9" s="15" t="n">
        <x:v>42.214334197407695</x:v>
      </x:c>
      <x:c r="H9" s="14" t="n">
        <x:v>0.8992132241428978</x:v>
      </x:c>
      <x:c r="I9" s="14" t="n">
        <x:v>0.9296427763376538</x:v>
      </x:c>
      <x:c r="J9" s="14" t="n">
        <x:v>0.9132108181524856</x:v>
      </x:c>
    </x:row>
    <x:row r="10" ht="25" customHeight="1">
      <x:c r="A10" s="3" t="str">
        <x:v>D7_I10_E</x:v>
      </x:c>
      <x:c r="B10" s="3" t="str">
        <x:v>D7_I10</x:v>
      </x:c>
      <x:c r="C10" s="3" t="str">
        <x:v>R1</x:v>
      </x:c>
      <x:c r="D10" s="3" t="str">
        <x:v>多跳直接</x:v>
      </x:c>
      <x:c r="E10" s="25" t="n">
        <x:v>63824</x:v>
      </x:c>
      <x:c r="F10" s="15" t="n">
        <x:v>2.021564838536646</x:v>
      </x:c>
      <x:c r="G10" s="15" t="n">
        <x:v>44.07908322294313</x:v>
      </x:c>
      <x:c r="H10" s="14" t="n">
        <x:v>0.9191374064585341</x:v>
      </x:c>
      <x:c r="I10" s="14" t="n">
        <x:v>0.9265348612950948</x:v>
      </x:c>
      <x:c r="J10" s="14" t="n">
        <x:v>0.9225402356833521</x:v>
      </x:c>
    </x:row>
    <x:row r="11" ht="25" customHeight="1">
      <x:c r="A11" s="3" t="str">
        <x:v>D7_I10_E</x:v>
      </x:c>
      <x:c r="B11" s="3" t="str">
        <x:v>D7_I10</x:v>
      </x:c>
      <x:c r="C11" s="3" t="str">
        <x:v>R2</x:v>
      </x:c>
      <x:c r="D11" s="3" t="str">
        <x:v>多跳直接</x:v>
      </x:c>
      <x:c r="E11" s="25" t="n">
        <x:v>145011</x:v>
      </x:c>
      <x:c r="F11" s="15" t="n">
        <x:v>1.9942354011817052</x:v>
      </x:c>
      <x:c r="G11" s="15" t="n">
        <x:v>42.526007318133985</x:v>
      </x:c>
      <x:c r="H11" s="14" t="n">
        <x:v>0.9202305839527318</x:v>
      </x:c>
      <x:c r="I11" s="14" t="n">
        <x:v>0.9291233211364434</x:v>
      </x:c>
      <x:c r="J11" s="14" t="n">
        <x:v>0.9243212430572392</x:v>
      </x:c>
    </x:row>
    <x:row r="12" ht="25" customHeight="1">
      <x:c r="A12" s="3" t="str">
        <x:v>D7_I10_E</x:v>
      </x:c>
      <x:c r="B12" s="3" t="str">
        <x:v>D7_I10</x:v>
      </x:c>
      <x:c r="C12" s="3" t="str">
        <x:v>R3</x:v>
      </x:c>
      <x:c r="D12" s="3" t="str">
        <x:v>多跳直接</x:v>
      </x:c>
      <x:c r="E12" s="25" t="n">
        <x:v>96280</x:v>
      </x:c>
      <x:c r="F12" s="15" t="n">
        <x:v>2.4586877925175585</x:v>
      </x:c>
      <x:c r="G12" s="15" t="n">
        <x:v>47.39172337061243</x:v>
      </x:c>
      <x:c r="H12" s="14" t="n">
        <x:v>0.9016524882992977</x:v>
      </x:c>
      <x:c r="I12" s="14" t="n">
        <x:v>0.9210137943823126</x:v>
      </x:c>
      <x:c r="J12" s="14" t="n">
        <x:v>0.9105586890974846</x:v>
      </x:c>
    </x:row>
    <x:row r="13" ht="25" customHeight="1">
      <x:c r="A13" s="3" t="str">
        <x:v>D7_I10_E</x:v>
      </x:c>
      <x:c r="B13" s="3" t="str">
        <x:v>D7_I10</x:v>
      </x:c>
      <x:c r="C13" s="3" t="str">
        <x:v>R1</x:v>
      </x:c>
      <x:c r="D13" s="3" t="str">
        <x:v>50%等权融合</x:v>
      </x:c>
      <x:c r="E13" s="25" t="n">
        <x:v>63824</x:v>
      </x:c>
      <x:c r="F13" s="15" t="n">
        <x:v>1.9858213712476023</x:v>
      </x:c>
      <x:c r="G13" s="15" t="n">
        <x:v>39.61799100150731</x:v>
      </x:c>
      <x:c r="H13" s="14" t="n">
        <x:v>0.9205671451500959</x:v>
      </x:c>
      <x:c r="I13" s="14" t="n">
        <x:v>0.9339700149974878</x:v>
      </x:c>
      <x:c r="J13" s="14" t="n">
        <x:v>0.9267324652798962</x:v>
      </x:c>
    </x:row>
    <x:row r="14" ht="25" customHeight="1">
      <x:c r="A14" s="3" t="str">
        <x:v>D7_I10_E</x:v>
      </x:c>
      <x:c r="B14" s="3" t="str">
        <x:v>D7_I10</x:v>
      </x:c>
      <x:c r="C14" s="3" t="str">
        <x:v>R2</x:v>
      </x:c>
      <x:c r="D14" s="3" t="str">
        <x:v>50%等权融合</x:v>
      </x:c>
      <x:c r="E14" s="25" t="n">
        <x:v>145011</x:v>
      </x:c>
      <x:c r="F14" s="15" t="n">
        <x:v>1.9528676888821546</x:v>
      </x:c>
      <x:c r="G14" s="15" t="n">
        <x:v>38.78453389555302</x:v>
      </x:c>
      <x:c r="H14" s="14" t="n">
        <x:v>0.9218852924447138</x:v>
      </x:c>
      <x:c r="I14" s="14" t="n">
        <x:v>0.9353591101740784</x:v>
      </x:c>
      <x:c r="J14" s="14" t="n">
        <x:v>0.9280832486002215</x:v>
      </x:c>
    </x:row>
    <x:row r="15" ht="25" customHeight="1">
      <x:c r="A15" s="3" t="str">
        <x:v>D7_I10_E</x:v>
      </x:c>
      <x:c r="B15" s="3" t="str">
        <x:v>D7_I10</x:v>
      </x:c>
      <x:c r="C15" s="3" t="str">
        <x:v>R3</x:v>
      </x:c>
      <x:c r="D15" s="3" t="str">
        <x:v>50%等权融合</x:v>
      </x:c>
      <x:c r="E15" s="25" t="n">
        <x:v>96280</x:v>
      </x:c>
      <x:c r="F15" s="15" t="n">
        <x:v>2.4326523490348007</x:v>
      </x:c>
      <x:c r="G15" s="15" t="n">
        <x:v>43.17097591476887</x:v>
      </x:c>
      <x:c r="H15" s="14" t="n">
        <x:v>0.902693906038608</x:v>
      </x:c>
      <x:c r="I15" s="14" t="n">
        <x:v>0.9280483734753853</x:v>
      </x:c>
      <x:c r="J15" s="14" t="n">
        <x:v>0.9143569610595256</x:v>
      </x:c>
    </x:row>
    <x:row r="16" ht="25" customHeight="1">
      <x:c r="A16" s="3" t="str">
        <x:v>D7_I10_E</x:v>
      </x:c>
      <x:c r="B16" s="3" t="str">
        <x:v>D7_I10</x:v>
      </x:c>
      <x:c r="C16" s="3" t="str">
        <x:v>R1</x:v>
      </x:c>
      <x:c r="D16" s="3" t="str">
        <x:v>60分钟切换融合</x:v>
      </x:c>
      <x:c r="E16" s="25" t="n">
        <x:v>63824</x:v>
      </x:c>
      <x:c r="F16" s="15" t="n">
        <x:v>1.9822083538745505</x:v>
      </x:c>
      <x:c r="G16" s="15" t="n">
        <x:v>39.65902684200525</x:v>
      </x:c>
      <x:c r="H16" s="14" t="n">
        <x:v>0.920711665845018</x:v>
      </x:c>
      <x:c r="I16" s="14" t="n">
        <x:v>0.9339016219299913</x:v>
      </x:c>
      <x:c r="J16" s="14" t="n">
        <x:v>0.9267790456441057</x:v>
      </x:c>
    </x:row>
    <x:row r="17" ht="25" customHeight="1">
      <x:c r="A17" s="3" t="str">
        <x:v>D7_I10_E</x:v>
      </x:c>
      <x:c r="B17" s="3" t="str">
        <x:v>D7_I10</x:v>
      </x:c>
      <x:c r="C17" s="3" t="str">
        <x:v>R2</x:v>
      </x:c>
      <x:c r="D17" s="3" t="str">
        <x:v>60分钟切换融合</x:v>
      </x:c>
      <x:c r="E17" s="25" t="n">
        <x:v>145011</x:v>
      </x:c>
      <x:c r="F17" s="15" t="n">
        <x:v>1.951333746892981</x:v>
      </x:c>
      <x:c r="G17" s="15" t="n">
        <x:v>39.27674002639389</x:v>
      </x:c>
      <x:c r="H17" s="14" t="n">
        <x:v>0.9219466501242808</x:v>
      </x:c>
      <x:c r="I17" s="14" t="n">
        <x:v>0.9345387666226769</x:v>
      </x:c>
      <x:c r="J17" s="14" t="n">
        <x:v>0.927739023713543</x:v>
      </x:c>
    </x:row>
    <x:row r="18" ht="25" customHeight="1">
      <x:c r="A18" s="3" t="str">
        <x:v>D7_I10_E</x:v>
      </x:c>
      <x:c r="B18" s="3" t="str">
        <x:v>D7_I10</x:v>
      </x:c>
      <x:c r="C18" s="3" t="str">
        <x:v>R3</x:v>
      </x:c>
      <x:c r="D18" s="3" t="str">
        <x:v>60分钟切换融合</x:v>
      </x:c>
      <x:c r="E18" s="25" t="n">
        <x:v>96280</x:v>
      </x:c>
      <x:c r="F18" s="15" t="n">
        <x:v>2.4244265123956397</x:v>
      </x:c>
      <x:c r="G18" s="15" t="n">
        <x:v>43.49633509662742</x:v>
      </x:c>
      <x:c r="H18" s="14" t="n">
        <x:v>0.9030229395041744</x:v>
      </x:c>
      <x:c r="I18" s="14" t="n">
        <x:v>0.9275061081722876</x:v>
      </x:c>
      <x:c r="J18" s="14" t="n">
        <x:v>0.9142851970915066</x:v>
      </x:c>
    </x:row>
    <x:row r="19" ht="25" customHeight="1">
      <x:c r="A19" s="3" t="str">
        <x:v>D7_I10_W</x:v>
      </x:c>
      <x:c r="B19" s="3" t="str">
        <x:v>D7_I10</x:v>
      </x:c>
      <x:c r="C19" s="3" t="str">
        <x:v>R1</x:v>
      </x:c>
      <x:c r="D19" s="3" t="str">
        <x:v>多跳残差</x:v>
      </x:c>
      <x:c r="E19" s="25" t="n">
        <x:v>37855</x:v>
      </x:c>
      <x:c r="F19" s="15" t="n">
        <x:v>1.2788903934997493</x:v>
      </x:c>
      <x:c r="G19" s="15" t="n">
        <x:v>33.12216049445716</x:v>
      </x:c>
      <x:c r="H19" s="14" t="n">
        <x:v>0.94884438426001</x:v>
      </x:c>
      <x:c r="I19" s="14" t="n">
        <x:v>0.9447963991759047</x:v>
      </x:c>
      <x:c r="J19" s="14" t="n">
        <x:v>0.9469823111213217</x:v>
      </x:c>
    </x:row>
    <x:row r="20" ht="25" customHeight="1">
      <x:c r="A20" s="3" t="str">
        <x:v>D7_I10_W</x:v>
      </x:c>
      <x:c r="B20" s="3" t="str">
        <x:v>D7_I10</x:v>
      </x:c>
      <x:c r="C20" s="3" t="str">
        <x:v>R2</x:v>
      </x:c>
      <x:c r="D20" s="3" t="str">
        <x:v>多跳残差</x:v>
      </x:c>
      <x:c r="E20" s="25" t="n">
        <x:v>63999</x:v>
      </x:c>
      <x:c r="F20" s="15" t="n">
        <x:v>1.703941613421936</x:v>
      </x:c>
      <x:c r="G20" s="15" t="n">
        <x:v>38.598630258614044</x:v>
      </x:c>
      <x:c r="H20" s="14" t="n">
        <x:v>0.9318423354631226</x:v>
      </x:c>
      <x:c r="I20" s="14" t="n">
        <x:v>0.9356689495689766</x:v>
      </x:c>
      <x:c r="J20" s="14" t="n">
        <x:v>0.9336025779518156</x:v>
      </x:c>
    </x:row>
    <x:row r="21" ht="25" customHeight="1">
      <x:c r="A21" s="3" t="str">
        <x:v>D7_I10_W</x:v>
      </x:c>
      <x:c r="B21" s="3" t="str">
        <x:v>D7_I10</x:v>
      </x:c>
      <x:c r="C21" s="3" t="str">
        <x:v>R3</x:v>
      </x:c>
      <x:c r="D21" s="3" t="str">
        <x:v>多跳残差</x:v>
      </x:c>
      <x:c r="E21" s="25" t="n">
        <x:v>164892</x:v>
      </x:c>
      <x:c r="F21" s="15" t="n">
        <x:v>1.7285883150243275</x:v>
      </x:c>
      <x:c r="G21" s="15" t="n">
        <x:v>38.17833046889006</x:v>
      </x:c>
      <x:c r="H21" s="14" t="n">
        <x:v>0.9308564673990269</x:v>
      </x:c>
      <x:c r="I21" s="14" t="n">
        <x:v>0.9363694492185166</x:v>
      </x:c>
      <x:c r="J21" s="14" t="n">
        <x:v>0.9333924390359922</x:v>
      </x:c>
    </x:row>
    <x:row r="22" ht="25" customHeight="1">
      <x:c r="A22" s="3" t="str">
        <x:v>D7_I10_W</x:v>
      </x:c>
      <x:c r="B22" s="3" t="str">
        <x:v>D7_I10</x:v>
      </x:c>
      <x:c r="C22" s="3" t="str">
        <x:v>R1</x:v>
      </x:c>
      <x:c r="D22" s="3" t="str">
        <x:v>多跳直接</x:v>
      </x:c>
      <x:c r="E22" s="25" t="n">
        <x:v>37855</x:v>
      </x:c>
      <x:c r="F22" s="15" t="n">
        <x:v>1.3103101885527764</x:v>
      </x:c>
      <x:c r="G22" s="15" t="n">
        <x:v>33.11297939933225</x:v>
      </x:c>
      <x:c r="H22" s="14" t="n">
        <x:v>0.9475875924578889</x:v>
      </x:c>
      <x:c r="I22" s="14" t="n">
        <x:v>0.9448117010011129</x:v>
      </x:c>
      <x:c r="J22" s="14" t="n">
        <x:v>0.946310682387772</x:v>
      </x:c>
    </x:row>
    <x:row r="23" ht="25" customHeight="1">
      <x:c r="A23" s="3" t="str">
        <x:v>D7_I10_W</x:v>
      </x:c>
      <x:c r="B23" s="3" t="str">
        <x:v>D7_I10</x:v>
      </x:c>
      <x:c r="C23" s="3" t="str">
        <x:v>R2</x:v>
      </x:c>
      <x:c r="D23" s="3" t="str">
        <x:v>多跳直接</x:v>
      </x:c>
      <x:c r="E23" s="25" t="n">
        <x:v>63999</x:v>
      </x:c>
      <x:c r="F23" s="15" t="n">
        <x:v>2.004069881423541</x:v>
      </x:c>
      <x:c r="G23" s="15" t="n">
        <x:v>38.60920836109937</x:v>
      </x:c>
      <x:c r="H23" s="14" t="n">
        <x:v>0.9198372047430583</x:v>
      </x:c>
      <x:c r="I23" s="14" t="n">
        <x:v>0.9356513193981677</x:v>
      </x:c>
      <x:c r="J23" s="14" t="n">
        <x:v>0.9271116974844087</x:v>
      </x:c>
    </x:row>
    <x:row r="24" ht="25" customHeight="1">
      <x:c r="A24" s="3" t="str">
        <x:v>D7_I10_W</x:v>
      </x:c>
      <x:c r="B24" s="3" t="str">
        <x:v>D7_I10</x:v>
      </x:c>
      <x:c r="C24" s="3" t="str">
        <x:v>R3</x:v>
      </x:c>
      <x:c r="D24" s="3" t="str">
        <x:v>多跳直接</x:v>
      </x:c>
      <x:c r="E24" s="25" t="n">
        <x:v>164892</x:v>
      </x:c>
      <x:c r="F24" s="15" t="n">
        <x:v>1.7275330018549993</x:v>
      </x:c>
      <x:c r="G24" s="15" t="n">
        <x:v>37.86446868094281</x:v>
      </x:c>
      <x:c r="H24" s="14" t="n">
        <x:v>0.9308986799258</x:v>
      </x:c>
      <x:c r="I24" s="14" t="n">
        <x:v>0.9368925521984286</x:v>
      </x:c>
      <x:c r="J24" s="14" t="n">
        <x:v>0.9336558611712091</x:v>
      </x:c>
    </x:row>
    <x:row r="25" ht="25" customHeight="1">
      <x:c r="A25" s="3" t="str">
        <x:v>D7_I10_W</x:v>
      </x:c>
      <x:c r="B25" s="3" t="str">
        <x:v>D7_I10</x:v>
      </x:c>
      <x:c r="C25" s="3" t="str">
        <x:v>R1</x:v>
      </x:c>
      <x:c r="D25" s="3" t="str">
        <x:v>50%等权融合</x:v>
      </x:c>
      <x:c r="E25" s="25" t="n">
        <x:v>37855</x:v>
      </x:c>
      <x:c r="F25" s="15" t="n">
        <x:v>1.2798012570162742</x:v>
      </x:c>
      <x:c r="G25" s="15" t="n">
        <x:v>32.90385512826173</x:v>
      </x:c>
      <x:c r="H25" s="14" t="n">
        <x:v>0.948807949719349</x:v>
      </x:c>
      <x:c r="I25" s="14" t="n">
        <x:v>0.9451602414528971</x:v>
      </x:c>
      <x:c r="J25" s="14" t="n">
        <x:v>0.9471300039167811</x:v>
      </x:c>
    </x:row>
    <x:row r="26" ht="25" customHeight="1">
      <x:c r="A26" s="3" t="str">
        <x:v>D7_I10_W</x:v>
      </x:c>
      <x:c r="B26" s="3" t="str">
        <x:v>D7_I10</x:v>
      </x:c>
      <x:c r="C26" s="3" t="str">
        <x:v>R2</x:v>
      </x:c>
      <x:c r="D26" s="3" t="str">
        <x:v>50%等权融合</x:v>
      </x:c>
      <x:c r="E26" s="25" t="n">
        <x:v>63999</x:v>
      </x:c>
      <x:c r="F26" s="15" t="n">
        <x:v>1.7846088261412865</x:v>
      </x:c>
      <x:c r="G26" s="15" t="n">
        <x:v>38.337319974632344</x:v>
      </x:c>
      <x:c r="H26" s="14" t="n">
        <x:v>0.9286156469543485</x:v>
      </x:c>
      <x:c r="I26" s="14" t="n">
        <x:v>0.9361044667089461</x:v>
      </x:c>
      <x:c r="J26" s="14" t="n">
        <x:v>0.9320605040414636</x:v>
      </x:c>
    </x:row>
    <x:row r="27" ht="25" customHeight="1">
      <x:c r="A27" s="3" t="str">
        <x:v>D7_I10_W</x:v>
      </x:c>
      <x:c r="B27" s="3" t="str">
        <x:v>D7_I10</x:v>
      </x:c>
      <x:c r="C27" s="3" t="str">
        <x:v>R3</x:v>
      </x:c>
      <x:c r="D27" s="3" t="str">
        <x:v>50%等权融合</x:v>
      </x:c>
      <x:c r="E27" s="25" t="n">
        <x:v>164892</x:v>
      </x:c>
      <x:c r="F27" s="15" t="n">
        <x:v>1.6755837171256764</x:v>
      </x:c>
      <x:c r="G27" s="15" t="n">
        <x:v>37.76118621932993</x:v>
      </x:c>
      <x:c r="H27" s="14" t="n">
        <x:v>0.932976651314973</x:v>
      </x:c>
      <x:c r="I27" s="14" t="n">
        <x:v>0.9370646896344501</x:v>
      </x:c>
      <x:c r="J27" s="14" t="n">
        <x:v>0.9348571489419326</x:v>
      </x:c>
    </x:row>
    <x:row r="28" ht="25" customHeight="1">
      <x:c r="A28" s="3" t="str">
        <x:v>D7_I10_W</x:v>
      </x:c>
      <x:c r="B28" s="3" t="str">
        <x:v>D7_I10</x:v>
      </x:c>
      <x:c r="C28" s="3" t="str">
        <x:v>R1</x:v>
      </x:c>
      <x:c r="D28" s="3" t="str">
        <x:v>60分钟切换融合</x:v>
      </x:c>
      <x:c r="E28" s="25" t="n">
        <x:v>37855</x:v>
      </x:c>
      <x:c r="F28" s="15" t="n">
        <x:v>1.279628561169724</x:v>
      </x:c>
      <x:c r="G28" s="15" t="n">
        <x:v>32.90064478313441</x:v>
      </x:c>
      <x:c r="H28" s="14" t="n">
        <x:v>0.948814857553211</x:v>
      </x:c>
      <x:c r="I28" s="14" t="n">
        <x:v>0.9451655920281093</x:v>
      </x:c>
      <x:c r="J28" s="14" t="n">
        <x:v>0.9471361954116643</x:v>
      </x:c>
    </x:row>
    <x:row r="29" ht="25" customHeight="1">
      <x:c r="A29" s="3" t="str">
        <x:v>D7_I10_W</x:v>
      </x:c>
      <x:c r="B29" s="3" t="str">
        <x:v>D7_I10</x:v>
      </x:c>
      <x:c r="C29" s="3" t="str">
        <x:v>R2</x:v>
      </x:c>
      <x:c r="D29" s="3" t="str">
        <x:v>60分钟切换融合</x:v>
      </x:c>
      <x:c r="E29" s="25" t="n">
        <x:v>63999</x:v>
      </x:c>
      <x:c r="F29" s="15" t="n">
        <x:v>1.8277545940051765</x:v>
      </x:c>
      <x:c r="G29" s="15" t="n">
        <x:v>38.33307184919918</x:v>
      </x:c>
      <x:c r="H29" s="14" t="n">
        <x:v>0.9268898162397929</x:v>
      </x:c>
      <x:c r="I29" s="14" t="n">
        <x:v>0.9361115469180014</x:v>
      </x:c>
      <x:c r="J29" s="14" t="n">
        <x:v>0.9311318123517689</x:v>
      </x:c>
    </x:row>
    <x:row r="30" ht="25" customHeight="1">
      <x:c r="A30" s="3" t="str">
        <x:v>D7_I10_W</x:v>
      </x:c>
      <x:c r="B30" s="3" t="str">
        <x:v>D7_I10</x:v>
      </x:c>
      <x:c r="C30" s="3" t="str">
        <x:v>R3</x:v>
      </x:c>
      <x:c r="D30" s="3" t="str">
        <x:v>60分钟切换融合</x:v>
      </x:c>
      <x:c r="E30" s="25" t="n">
        <x:v>164892</x:v>
      </x:c>
      <x:c r="F30" s="15" t="n">
        <x:v>1.6683877107158167</x:v>
      </x:c>
      <x:c r="G30" s="15" t="n">
        <x:v>37.64998755770169</x:v>
      </x:c>
      <x:c r="H30" s="14" t="n">
        <x:v>0.9332644915713674</x:v>
      </x:c>
      <x:c r="I30" s="14" t="n">
        <x:v>0.9372500207371639</x:v>
      </x:c>
      <x:c r="J30" s="14" t="n">
        <x:v>0.9350978349876338</x:v>
      </x:c>
    </x:row>
    <x:row r="31" ht="25" customHeight="1">
      <x:c r="A31" s="3" t="str">
        <x:v>D7_I210_E</x:v>
      </x:c>
      <x:c r="B31" s="3" t="str">
        <x:v>D7_I210</x:v>
      </x:c>
      <x:c r="C31" s="3" t="str">
        <x:v>R1</x:v>
      </x:c>
      <x:c r="D31" s="3" t="str">
        <x:v>多跳残差</x:v>
      </x:c>
      <x:c r="E31" s="25" t="n">
        <x:v>78363</x:v>
      </x:c>
      <x:c r="F31" s="15" t="n">
        <x:v>1.7234233725139676</x:v>
      </x:c>
      <x:c r="G31" s="15" t="n">
        <x:v>34.35965569401603</x:v>
      </x:c>
      <x:c r="H31" s="14" t="n">
        <x:v>0.9310630650994413</x:v>
      </x:c>
      <x:c r="I31" s="14" t="n">
        <x:v>0.94273390717664</x:v>
      </x:c>
      <x:c r="J31" s="14" t="n">
        <x:v>0.9364316524549527</x:v>
      </x:c>
    </x:row>
    <x:row r="32" ht="25" customHeight="1">
      <x:c r="A32" s="3" t="str">
        <x:v>D7_I210_E</x:v>
      </x:c>
      <x:c r="B32" s="3" t="str">
        <x:v>D7_I210</x:v>
      </x:c>
      <x:c r="C32" s="3" t="str">
        <x:v>R2</x:v>
      </x:c>
      <x:c r="D32" s="3" t="str">
        <x:v>多跳残差</x:v>
      </x:c>
      <x:c r="E32" s="25" t="n">
        <x:v>235039</x:v>
      </x:c>
      <x:c r="F32" s="15" t="n">
        <x:v>1.7233445951825237</x:v>
      </x:c>
      <x:c r="G32" s="15" t="n">
        <x:v>35.364742283150385</x:v>
      </x:c>
      <x:c r="H32" s="14" t="n">
        <x:v>0.931066216192699</x:v>
      </x:c>
      <x:c r="I32" s="14" t="n">
        <x:v>0.941058762861416</x:v>
      </x:c>
      <x:c r="J32" s="14" t="n">
        <x:v>0.9356627876603089</x:v>
      </x:c>
    </x:row>
    <x:row r="33" ht="25" customHeight="1">
      <x:c r="A33" s="3" t="str">
        <x:v>D7_I210_E</x:v>
      </x:c>
      <x:c r="B33" s="3" t="str">
        <x:v>D7_I210</x:v>
      </x:c>
      <x:c r="C33" s="3" t="str">
        <x:v>R3</x:v>
      </x:c>
      <x:c r="D33" s="3" t="str">
        <x:v>多跳残差</x:v>
      </x:c>
      <x:c r="E33" s="25" t="n">
        <x:v>424989</x:v>
      </x:c>
      <x:c r="F33" s="15" t="n">
        <x:v>1.9551036348214141</x:v>
      </x:c>
      <x:c r="G33" s="15" t="n">
        <x:v>40.35022277796516</x:v>
      </x:c>
      <x:c r="H33" s="14" t="n">
        <x:v>0.9217958546071434</x:v>
      </x:c>
      <x:c r="I33" s="14" t="n">
        <x:v>0.9327496287033914</x:v>
      </x:c>
      <x:c r="J33" s="14" t="n">
        <x:v>0.9268345906914175</x:v>
      </x:c>
    </x:row>
    <x:row r="34" ht="25" customHeight="1">
      <x:c r="A34" s="3" t="str">
        <x:v>D7_I210_E</x:v>
      </x:c>
      <x:c r="B34" s="3" t="str">
        <x:v>D7_I210</x:v>
      </x:c>
      <x:c r="C34" s="3" t="str">
        <x:v>R1</x:v>
      </x:c>
      <x:c r="D34" s="3" t="str">
        <x:v>多跳直接</x:v>
      </x:c>
      <x:c r="E34" s="25" t="n">
        <x:v>78363</x:v>
      </x:c>
      <x:c r="F34" s="15" t="n">
        <x:v>1.6529212886656366</x:v>
      </x:c>
      <x:c r="G34" s="15" t="n">
        <x:v>34.6502183366682</x:v>
      </x:c>
      <x:c r="H34" s="14" t="n">
        <x:v>0.9338831484533745</x:v>
      </x:c>
      <x:c r="I34" s="14" t="n">
        <x:v>0.942249636105553</x:v>
      </x:c>
      <x:c r="J34" s="14" t="n">
        <x:v>0.9377317327733767</x:v>
      </x:c>
    </x:row>
    <x:row r="35" ht="25" customHeight="1">
      <x:c r="A35" s="3" t="str">
        <x:v>D7_I210_E</x:v>
      </x:c>
      <x:c r="B35" s="3" t="str">
        <x:v>D7_I210</x:v>
      </x:c>
      <x:c r="C35" s="3" t="str">
        <x:v>R2</x:v>
      </x:c>
      <x:c r="D35" s="3" t="str">
        <x:v>多跳直接</x:v>
      </x:c>
      <x:c r="E35" s="25" t="n">
        <x:v>235039</x:v>
      </x:c>
      <x:c r="F35" s="15" t="n">
        <x:v>1.7449511365342536</x:v>
      </x:c>
      <x:c r="G35" s="15" t="n">
        <x:v>36.31939375500792</x:v>
      </x:c>
      <x:c r="H35" s="14" t="n">
        <x:v>0.9302019545386299</x:v>
      </x:c>
      <x:c r="I35" s="14" t="n">
        <x:v>0.9394676770749868</x:v>
      </x:c>
      <x:c r="J35" s="14" t="n">
        <x:v>0.934464186905354</x:v>
      </x:c>
    </x:row>
    <x:row r="36" ht="25" customHeight="1">
      <x:c r="A36" s="3" t="str">
        <x:v>D7_I210_E</x:v>
      </x:c>
      <x:c r="B36" s="3" t="str">
        <x:v>D7_I210</x:v>
      </x:c>
      <x:c r="C36" s="3" t="str">
        <x:v>R3</x:v>
      </x:c>
      <x:c r="D36" s="3" t="str">
        <x:v>多跳直接</x:v>
      </x:c>
      <x:c r="E36" s="25" t="n">
        <x:v>424989</x:v>
      </x:c>
      <x:c r="F36" s="15" t="n">
        <x:v>1.9873095235398526</x:v>
      </x:c>
      <x:c r="G36" s="15" t="n">
        <x:v>41.898224793451114</x:v>
      </x:c>
      <x:c r="H36" s="14" t="n">
        <x:v>0.9205076190584058</x:v>
      </x:c>
      <x:c r="I36" s="14" t="n">
        <x:v>0.9301696253442482</x:v>
      </x:c>
      <x:c r="J36" s="14" t="n">
        <x:v>0.9249521419498934</x:v>
      </x:c>
    </x:row>
    <x:row r="37" ht="25" customHeight="1">
      <x:c r="A37" s="3" t="str">
        <x:v>D7_I210_E</x:v>
      </x:c>
      <x:c r="B37" s="3" t="str">
        <x:v>D7_I210</x:v>
      </x:c>
      <x:c r="C37" s="3" t="str">
        <x:v>R1</x:v>
      </x:c>
      <x:c r="D37" s="3" t="str">
        <x:v>50%等权融合</x:v>
      </x:c>
      <x:c r="E37" s="25" t="n">
        <x:v>78363</x:v>
      </x:c>
      <x:c r="F37" s="15" t="n">
        <x:v>1.6669615779016282</x:v>
      </x:c>
      <x:c r="G37" s="15" t="n">
        <x:v>34.11186640793472</x:v>
      </x:c>
      <x:c r="H37" s="14" t="n">
        <x:v>0.9333215368839349</x:v>
      </x:c>
      <x:c r="I37" s="14" t="n">
        <x:v>0.9431468893201088</x:v>
      </x:c>
      <x:c r="J37" s="14" t="n">
        <x:v>0.937841199004575</x:v>
      </x:c>
    </x:row>
    <x:row r="38" ht="25" customHeight="1">
      <x:c r="A38" s="3" t="str">
        <x:v>D7_I210_E</x:v>
      </x:c>
      <x:c r="B38" s="3" t="str">
        <x:v>D7_I210</x:v>
      </x:c>
      <x:c r="C38" s="3" t="str">
        <x:v>R2</x:v>
      </x:c>
      <x:c r="D38" s="3" t="str">
        <x:v>50%等权融合</x:v>
      </x:c>
      <x:c r="E38" s="25" t="n">
        <x:v>235039</x:v>
      </x:c>
      <x:c r="F38" s="15" t="n">
        <x:v>1.7124604810091553</x:v>
      </x:c>
      <x:c r="G38" s="15" t="n">
        <x:v>35.276586641859815</x:v>
      </x:c>
      <x:c r="H38" s="14" t="n">
        <x:v>0.9315015807596339</x:v>
      </x:c>
      <x:c r="I38" s="14" t="n">
        <x:v>0.9412056889302336</x:v>
      </x:c>
      <x:c r="J38" s="14" t="n">
        <x:v>0.9359654705181097</x:v>
      </x:c>
    </x:row>
    <x:row r="39" ht="25" customHeight="1">
      <x:c r="A39" s="3" t="str">
        <x:v>D7_I210_E</x:v>
      </x:c>
      <x:c r="B39" s="3" t="str">
        <x:v>D7_I210</x:v>
      </x:c>
      <x:c r="C39" s="3" t="str">
        <x:v>R3</x:v>
      </x:c>
      <x:c r="D39" s="3" t="str">
        <x:v>50%等权融合</x:v>
      </x:c>
      <x:c r="E39" s="25" t="n">
        <x:v>424989</x:v>
      </x:c>
      <x:c r="F39" s="15" t="n">
        <x:v>1.935234019013424</x:v>
      </x:c>
      <x:c r="G39" s="15" t="n">
        <x:v>40.26050514651858</x:v>
      </x:c>
      <x:c r="H39" s="14" t="n">
        <x:v>0.922590639239463</x:v>
      </x:c>
      <x:c r="I39" s="14" t="n">
        <x:v>0.9328991580891357</x:v>
      </x:c>
      <x:c r="J39" s="14" t="n">
        <x:v>0.9273325579103124</x:v>
      </x:c>
    </x:row>
    <x:row r="40" ht="25" customHeight="1">
      <x:c r="A40" s="3" t="str">
        <x:v>D7_I210_E</x:v>
      </x:c>
      <x:c r="B40" s="3" t="str">
        <x:v>D7_I210</x:v>
      </x:c>
      <x:c r="C40" s="3" t="str">
        <x:v>R1</x:v>
      </x:c>
      <x:c r="D40" s="3" t="str">
        <x:v>60分钟切换融合</x:v>
      </x:c>
      <x:c r="E40" s="25" t="n">
        <x:v>78363</x:v>
      </x:c>
      <x:c r="F40" s="15" t="n">
        <x:v>1.6669154018237191</x:v>
      </x:c>
      <x:c r="G40" s="15" t="n">
        <x:v>34.119652111909396</x:v>
      </x:c>
      <x:c r="H40" s="14" t="n">
        <x:v>0.9333233839270513</x:v>
      </x:c>
      <x:c r="I40" s="14" t="n">
        <x:v>0.9431339131468177</x:v>
      </x:c>
      <x:c r="J40" s="14" t="n">
        <x:v>0.937836227368144</x:v>
      </x:c>
    </x:row>
    <x:row r="41" ht="25" customHeight="1">
      <x:c r="A41" s="3" t="str">
        <x:v>D7_I210_E</x:v>
      </x:c>
      <x:c r="B41" s="3" t="str">
        <x:v>D7_I210</x:v>
      </x:c>
      <x:c r="C41" s="3" t="str">
        <x:v>R2</x:v>
      </x:c>
      <x:c r="D41" s="3" t="str">
        <x:v>60分钟切换融合</x:v>
      </x:c>
      <x:c r="E41" s="25" t="n">
        <x:v>235039</x:v>
      </x:c>
      <x:c r="F41" s="15" t="n">
        <x:v>1.7109536393374487</x:v>
      </x:c>
      <x:c r="G41" s="15" t="n">
        <x:v>35.28259773079248</x:v>
      </x:c>
      <x:c r="H41" s="14" t="n">
        <x:v>0.9315618544265021</x:v>
      </x:c>
      <x:c r="I41" s="14" t="n">
        <x:v>0.9411956704486792</x:v>
      </x:c>
      <x:c r="J41" s="14" t="n">
        <x:v>0.9359934097967035</x:v>
      </x:c>
    </x:row>
    <x:row r="42" ht="25" customHeight="1">
      <x:c r="A42" s="3" t="str">
        <x:v>D7_I210_E</x:v>
      </x:c>
      <x:c r="B42" s="3" t="str">
        <x:v>D7_I210</x:v>
      </x:c>
      <x:c r="C42" s="3" t="str">
        <x:v>R3</x:v>
      </x:c>
      <x:c r="D42" s="3" t="str">
        <x:v>60分钟切换融合</x:v>
      </x:c>
      <x:c r="E42" s="25" t="n">
        <x:v>424989</x:v>
      </x:c>
      <x:c r="F42" s="15" t="n">
        <x:v>1.9338272026837737</x:v>
      </x:c>
      <x:c r="G42" s="15" t="n">
        <x:v>40.0262245275394</x:v>
      </x:c>
      <x:c r="H42" s="14" t="n">
        <x:v>0.922646911892649</x:v>
      </x:c>
      <x:c r="I42" s="14" t="n">
        <x:v>0.9332896257874344</x:v>
      </x:c>
      <x:c r="J42" s="14" t="n">
        <x:v>0.9275425602842503</x:v>
      </x:c>
    </x:row>
    <x:row r="43" ht="25" customHeight="1">
      <x:c r="A43" s="3" t="str">
        <x:v>D7_I210_W</x:v>
      </x:c>
      <x:c r="B43" s="3" t="str">
        <x:v>D7_I210</x:v>
      </x:c>
      <x:c r="C43" s="3" t="str">
        <x:v>R1</x:v>
      </x:c>
      <x:c r="D43" s="3" t="str">
        <x:v>多跳残差</x:v>
      </x:c>
      <x:c r="E43" s="25" t="n">
        <x:v>21346</x:v>
      </x:c>
      <x:c r="F43" s="15" t="n">
        <x:v>2.990113312254684</x:v>
      </x:c>
      <x:c r="G43" s="15" t="n">
        <x:v>37.76676771310481</x:v>
      </x:c>
      <x:c r="H43" s="14" t="n">
        <x:v>0.8803954675098127</x:v>
      </x:c>
      <x:c r="I43" s="14" t="n">
        <x:v>0.9370553871448253</x:v>
      </x:c>
      <x:c r="J43" s="14" t="n">
        <x:v>0.9064590305419185</x:v>
      </x:c>
    </x:row>
    <x:row r="44" ht="25" customHeight="1">
      <x:c r="A44" s="3" t="str">
        <x:v>D7_I210_W</x:v>
      </x:c>
      <x:c r="B44" s="3" t="str">
        <x:v>D7_I210</x:v>
      </x:c>
      <x:c r="C44" s="3" t="str">
        <x:v>R2</x:v>
      </x:c>
      <x:c r="D44" s="3" t="str">
        <x:v>多跳残差</x:v>
      </x:c>
      <x:c r="E44" s="25" t="n">
        <x:v>64070</x:v>
      </x:c>
      <x:c r="F44" s="15" t="n">
        <x:v>2.972162227070401</x:v>
      </x:c>
      <x:c r="G44" s="15" t="n">
        <x:v>36.694376894748885</x:v>
      </x:c>
      <x:c r="H44" s="14" t="n">
        <x:v>0.8811135109171839</x:v>
      </x:c>
      <x:c r="I44" s="14" t="n">
        <x:v>0.9388427051754186</x:v>
      </x:c>
      <x:c r="J44" s="14" t="n">
        <x:v>0.9076689402759719</x:v>
      </x:c>
    </x:row>
    <x:row r="45" ht="25" customHeight="1">
      <x:c r="A45" s="3" t="str">
        <x:v>D7_I210_W</x:v>
      </x:c>
      <x:c r="B45" s="3" t="str">
        <x:v>D7_I210</x:v>
      </x:c>
      <x:c r="C45" s="3" t="str">
        <x:v>R3</x:v>
      </x:c>
      <x:c r="D45" s="3" t="str">
        <x:v>多跳残差</x:v>
      </x:c>
      <x:c r="E45" s="25" t="n">
        <x:v>115507</x:v>
      </x:c>
      <x:c r="F45" s="15" t="n">
        <x:v>3.8205438075656493</x:v>
      </x:c>
      <x:c r="G45" s="15" t="n">
        <x:v>43.0410451609803</x:v>
      </x:c>
      <x:c r="H45" s="14" t="n">
        <x:v>0.847178247697374</x:v>
      </x:c>
      <x:c r="I45" s="14" t="n">
        <x:v>0.9282649247316995</x:v>
      </x:c>
      <x:c r="J45" s="14" t="n">
        <x:v>0.8844781191331639</x:v>
      </x:c>
    </x:row>
    <x:row r="46" ht="25" customHeight="1">
      <x:c r="A46" s="3" t="str">
        <x:v>D7_I210_W</x:v>
      </x:c>
      <x:c r="B46" s="3" t="str">
        <x:v>D7_I210</x:v>
      </x:c>
      <x:c r="C46" s="3" t="str">
        <x:v>R1</x:v>
      </x:c>
      <x:c r="D46" s="3" t="str">
        <x:v>多跳直接</x:v>
      </x:c>
      <x:c r="E46" s="25" t="n">
        <x:v>21346</x:v>
      </x:c>
      <x:c r="F46" s="15" t="n">
        <x:v>2.95047976245622</x:v>
      </x:c>
      <x:c r="G46" s="15" t="n">
        <x:v>37.96732782223977</x:v>
      </x:c>
      <x:c r="H46" s="14" t="n">
        <x:v>0.8819808095017512</x:v>
      </x:c>
      <x:c r="I46" s="14" t="n">
        <x:v>0.9367211202962671</x:v>
      </x:c>
      <x:c r="J46" s="14" t="n">
        <x:v>0.9071613524672286</x:v>
      </x:c>
    </x:row>
    <x:row r="47" ht="25" customHeight="1">
      <x:c r="A47" s="3" t="str">
        <x:v>D7_I210_W</x:v>
      </x:c>
      <x:c r="B47" s="3" t="str">
        <x:v>D7_I210</x:v>
      </x:c>
      <x:c r="C47" s="3" t="str">
        <x:v>R2</x:v>
      </x:c>
      <x:c r="D47" s="3" t="str">
        <x:v>多跳直接</x:v>
      </x:c>
      <x:c r="E47" s="25" t="n">
        <x:v>64070</x:v>
      </x:c>
      <x:c r="F47" s="15" t="n">
        <x:v>3.0070148057682156</x:v>
      </x:c>
      <x:c r="G47" s="15" t="n">
        <x:v>36.86321654019969</x:v>
      </x:c>
      <x:c r="H47" s="14" t="n">
        <x:v>0.8797194077692714</x:v>
      </x:c>
      <x:c r="I47" s="14" t="n">
        <x:v>0.9385613057663339</x:v>
      </x:c>
      <x:c r="J47" s="14" t="n">
        <x:v>0.9067866808479201</x:v>
      </x:c>
    </x:row>
    <x:row r="48" ht="25" customHeight="1">
      <x:c r="A48" s="3" t="str">
        <x:v>D7_I210_W</x:v>
      </x:c>
      <x:c r="B48" s="3" t="str">
        <x:v>D7_I210</x:v>
      </x:c>
      <x:c r="C48" s="3" t="str">
        <x:v>R3</x:v>
      </x:c>
      <x:c r="D48" s="3" t="str">
        <x:v>多跳直接</x:v>
      </x:c>
      <x:c r="E48" s="25" t="n">
        <x:v>115507</x:v>
      </x:c>
      <x:c r="F48" s="15" t="n">
        <x:v>3.7677352072519303</x:v>
      </x:c>
      <x:c r="G48" s="15" t="n">
        <x:v>43.0477335038327</x:v>
      </x:c>
      <x:c r="H48" s="14" t="n">
        <x:v>0.8492905917099228</x:v>
      </x:c>
      <x:c r="I48" s="14" t="n">
        <x:v>0.9282537774936122</x:v>
      </x:c>
      <x:c r="J48" s="14" t="n">
        <x:v>0.88561365717042</x:v>
      </x:c>
    </x:row>
    <x:row r="49" ht="25" customHeight="1">
      <x:c r="A49" s="3" t="str">
        <x:v>D7_I210_W</x:v>
      </x:c>
      <x:c r="B49" s="3" t="str">
        <x:v>D7_I210</x:v>
      </x:c>
      <x:c r="C49" s="3" t="str">
        <x:v>R1</x:v>
      </x:c>
      <x:c r="D49" s="3" t="str">
        <x:v>50%等权融合</x:v>
      </x:c>
      <x:c r="E49" s="25" t="n">
        <x:v>21346</x:v>
      </x:c>
      <x:c r="F49" s="15" t="n">
        <x:v>2.942165763333145</x:v>
      </x:c>
      <x:c r="G49" s="15" t="n">
        <x:v>37.62994609540344</x:v>
      </x:c>
      <x:c r="H49" s="14" t="n">
        <x:v>0.8823133694666743</x:v>
      </x:c>
      <x:c r="I49" s="14" t="n">
        <x:v>0.9372834231743276</x:v>
      </x:c>
      <x:c r="J49" s="14" t="n">
        <x:v>0.9075995941721948</x:v>
      </x:c>
    </x:row>
    <x:row r="50" ht="25" customHeight="1">
      <x:c r="A50" s="3" t="str">
        <x:v>D7_I210_W</x:v>
      </x:c>
      <x:c r="B50" s="3" t="str">
        <x:v>D7_I210</x:v>
      </x:c>
      <x:c r="C50" s="3" t="str">
        <x:v>R2</x:v>
      </x:c>
      <x:c r="D50" s="3" t="str">
        <x:v>50%等权融合</x:v>
      </x:c>
      <x:c r="E50" s="25" t="n">
        <x:v>64070</x:v>
      </x:c>
      <x:c r="F50" s="15" t="n">
        <x:v>2.963677183321986</x:v>
      </x:c>
      <x:c r="G50" s="15" t="n">
        <x:v>36.5603925753623</x:v>
      </x:c>
      <x:c r="H50" s="14" t="n">
        <x:v>0.8814529126671206</x:v>
      </x:c>
      <x:c r="I50" s="14" t="n">
        <x:v>0.9390660123743961</x:v>
      </x:c>
      <x:c r="J50" s="14" t="n">
        <x:v>0.9079549385324674</x:v>
      </x:c>
    </x:row>
    <x:row r="51" ht="25" customHeight="1">
      <x:c r="A51" s="3" t="str">
        <x:v>D7_I210_W</x:v>
      </x:c>
      <x:c r="B51" s="3" t="str">
        <x:v>D7_I210</x:v>
      </x:c>
      <x:c r="C51" s="3" t="str">
        <x:v>R3</x:v>
      </x:c>
      <x:c r="D51" s="3" t="str">
        <x:v>50%等权融合</x:v>
      </x:c>
      <x:c r="E51" s="25" t="n">
        <x:v>115507</x:v>
      </x:c>
      <x:c r="F51" s="15" t="n">
        <x:v>3.7562386723917727</x:v>
      </x:c>
      <x:c r="G51" s="15" t="n">
        <x:v>42.79151927866287</x:v>
      </x:c>
      <x:c r="H51" s="14" t="n">
        <x:v>0.8497504531043291</x:v>
      </x:c>
      <x:c r="I51" s="14" t="n">
        <x:v>0.9286808012022285</x:v>
      </x:c>
      <x:c r="J51" s="14" t="n">
        <x:v>0.8860584132293629</x:v>
      </x:c>
    </x:row>
    <x:row r="52" ht="25" customHeight="1">
      <x:c r="A52" s="3" t="str">
        <x:v>D7_I210_W</x:v>
      </x:c>
      <x:c r="B52" s="3" t="str">
        <x:v>D7_I210</x:v>
      </x:c>
      <x:c r="C52" s="3" t="str">
        <x:v>R1</x:v>
      </x:c>
      <x:c r="D52" s="3" t="str">
        <x:v>60分钟切换融合</x:v>
      </x:c>
      <x:c r="E52" s="25" t="n">
        <x:v>21346</x:v>
      </x:c>
      <x:c r="F52" s="15" t="n">
        <x:v>2.9423224587069825</x:v>
      </x:c>
      <x:c r="G52" s="15" t="n">
        <x:v>37.628345895194975</x:v>
      </x:c>
      <x:c r="H52" s="14" t="n">
        <x:v>0.8823071016517207</x:v>
      </x:c>
      <x:c r="I52" s="14" t="n">
        <x:v>0.937286090174675</x:v>
      </x:c>
      <x:c r="J52" s="14" t="n">
        <x:v>0.9075974363722797</x:v>
      </x:c>
    </x:row>
    <x:row r="53" ht="25" customHeight="1">
      <x:c r="A53" s="3" t="str">
        <x:v>D7_I210_W</x:v>
      </x:c>
      <x:c r="B53" s="3" t="str">
        <x:v>D7_I210</x:v>
      </x:c>
      <x:c r="C53" s="3" t="str">
        <x:v>R2</x:v>
      </x:c>
      <x:c r="D53" s="3" t="str">
        <x:v>60分钟切换融合</x:v>
      </x:c>
      <x:c r="E53" s="25" t="n">
        <x:v>64070</x:v>
      </x:c>
      <x:c r="F53" s="15" t="n">
        <x:v>2.9651187705197333</x:v>
      </x:c>
      <x:c r="G53" s="15" t="n">
        <x:v>36.54311918492266</x:v>
      </x:c>
      <x:c r="H53" s="14" t="n">
        <x:v>0.8813952491792106</x:v>
      </x:c>
      <x:c r="I53" s="14" t="n">
        <x:v>0.9390948013584622</x:v>
      </x:c>
      <x:c r="J53" s="14" t="n">
        <x:v>0.9079370431816665</x:v>
      </x:c>
    </x:row>
    <x:row r="54" ht="25" customHeight="1">
      <x:c r="A54" s="3" t="str">
        <x:v>D7_I210_W</x:v>
      </x:c>
      <x:c r="B54" s="3" t="str">
        <x:v>D7_I210</x:v>
      </x:c>
      <x:c r="C54" s="3" t="str">
        <x:v>R3</x:v>
      </x:c>
      <x:c r="D54" s="3" t="str">
        <x:v>60分钟切换融合</x:v>
      </x:c>
      <x:c r="E54" s="25" t="n">
        <x:v>115507</x:v>
      </x:c>
      <x:c r="F54" s="15" t="n">
        <x:v>3.7219632206803825</x:v>
      </x:c>
      <x:c r="G54" s="15" t="n">
        <x:v>42.73430101778986</x:v>
      </x:c>
      <x:c r="H54" s="14" t="n">
        <x:v>0.8511214711727847</x:v>
      </x:c>
      <x:c r="I54" s="14" t="n">
        <x:v>0.9287761649703502</x:v>
      </x:c>
      <x:c r="J54" s="14" t="n">
        <x:v>0.8868426303196649</x:v>
      </x:c>
    </x:row>
    <x:row r="55" ht="25" customHeight="1">
      <x:c r="A55" s="3" t="str">
        <x:v>D7_I405_N</x:v>
      </x:c>
      <x:c r="B55" s="3" t="str">
        <x:v>D7_I405</x:v>
      </x:c>
      <x:c r="C55" s="3" t="str">
        <x:v>R1</x:v>
      </x:c>
      <x:c r="D55" s="3" t="str">
        <x:v>多跳残差</x:v>
      </x:c>
      <x:c r="E55" s="25" t="n">
        <x:v>139020</x:v>
      </x:c>
      <x:c r="F55" s="15" t="n">
        <x:v>2.1315354236013873</x:v>
      </x:c>
      <x:c r="G55" s="15" t="n">
        <x:v>43.60526595783122</x:v>
      </x:c>
      <x:c r="H55" s="14" t="n">
        <x:v>0.9147385830559445</x:v>
      </x:c>
      <x:c r="I55" s="14" t="n">
        <x:v>0.9273245567369479</x:v>
      </x:c>
      <x:c r="J55" s="14" t="n">
        <x:v>0.9205281309492062</x:v>
      </x:c>
    </x:row>
    <x:row r="56" ht="25" customHeight="1">
      <x:c r="A56" s="3" t="str">
        <x:v>D7_I405_N</x:v>
      </x:c>
      <x:c r="B56" s="3" t="str">
        <x:v>D7_I405</x:v>
      </x:c>
      <x:c r="C56" s="3" t="str">
        <x:v>R2</x:v>
      </x:c>
      <x:c r="D56" s="3" t="str">
        <x:v>多跳残差</x:v>
      </x:c>
      <x:c r="E56" s="25" t="n">
        <x:v>255417</x:v>
      </x:c>
      <x:c r="F56" s="15" t="n">
        <x:v>2.1599463787288147</x:v>
      </x:c>
      <x:c r="G56" s="15" t="n">
        <x:v>44.044189563921094</x:v>
      </x:c>
      <x:c r="H56" s="14" t="n">
        <x:v>0.9136021448508475</x:v>
      </x:c>
      <x:c r="I56" s="14" t="n">
        <x:v>0.9265930173934649</x:v>
      </x:c>
      <x:c r="J56" s="14" t="n">
        <x:v>0.9195779462204515</x:v>
      </x:c>
    </x:row>
    <x:row r="57" ht="25" customHeight="1">
      <x:c r="A57" s="3" t="str">
        <x:v>D7_I405_N</x:v>
      </x:c>
      <x:c r="B57" s="3" t="str">
        <x:v>D7_I405</x:v>
      </x:c>
      <x:c r="C57" s="3" t="str">
        <x:v>R3</x:v>
      </x:c>
      <x:c r="D57" s="3" t="str">
        <x:v>多跳残差</x:v>
      </x:c>
      <x:c r="E57" s="25" t="n">
        <x:v>425258</x:v>
      </x:c>
      <x:c r="F57" s="15" t="n">
        <x:v>2.908058662039623</x:v>
      </x:c>
      <x:c r="G57" s="15" t="n">
        <x:v>49.96902749599632</x:v>
      </x:c>
      <x:c r="H57" s="14" t="n">
        <x:v>0.8836776535184151</x:v>
      </x:c>
      <x:c r="I57" s="14" t="n">
        <x:v>0.9167182875066728</x:v>
      </x:c>
      <x:c r="J57" s="14" t="n">
        <x:v>0.8988763451530137</x:v>
      </x:c>
    </x:row>
    <x:row r="58" ht="25" customHeight="1">
      <x:c r="A58" s="3" t="str">
        <x:v>D7_I405_N</x:v>
      </x:c>
      <x:c r="B58" s="3" t="str">
        <x:v>D7_I405</x:v>
      </x:c>
      <x:c r="C58" s="3" t="str">
        <x:v>R1</x:v>
      </x:c>
      <x:c r="D58" s="3" t="str">
        <x:v>多跳直接</x:v>
      </x:c>
      <x:c r="E58" s="25" t="n">
        <x:v>139020</x:v>
      </x:c>
      <x:c r="F58" s="15" t="n">
        <x:v>2.099386191424932</x:v>
      </x:c>
      <x:c r="G58" s="15" t="n">
        <x:v>43.51376921812642</x:v>
      </x:c>
      <x:c r="H58" s="14" t="n">
        <x:v>0.9160245523430027</x:v>
      </x:c>
      <x:c r="I58" s="14" t="n">
        <x:v>0.9274770513031226</x:v>
      </x:c>
      <x:c r="J58" s="14" t="n">
        <x:v>0.921292701864658</x:v>
      </x:c>
    </x:row>
    <x:row r="59" ht="25" customHeight="1">
      <x:c r="A59" s="3" t="str">
        <x:v>D7_I405_N</x:v>
      </x:c>
      <x:c r="B59" s="3" t="str">
        <x:v>D7_I405</x:v>
      </x:c>
      <x:c r="C59" s="3" t="str">
        <x:v>R2</x:v>
      </x:c>
      <x:c r="D59" s="3" t="str">
        <x:v>多跳直接</x:v>
      </x:c>
      <x:c r="E59" s="25" t="n">
        <x:v>255417</x:v>
      </x:c>
      <x:c r="F59" s="15" t="n">
        <x:v>2.1388936642828966</x:v>
      </x:c>
      <x:c r="G59" s="15" t="n">
        <x:v>43.890504821813025</x:v>
      </x:c>
      <x:c r="H59" s="14" t="n">
        <x:v>0.9144442534286841</x:v>
      </x:c>
      <x:c r="I59" s="14" t="n">
        <x:v>0.9268491586303116</x:v>
      </x:c>
      <x:c r="J59" s="14" t="n">
        <x:v>0.9201505098214329</x:v>
      </x:c>
    </x:row>
    <x:row r="60" ht="25" customHeight="1">
      <x:c r="A60" s="3" t="str">
        <x:v>D7_I405_N</x:v>
      </x:c>
      <x:c r="B60" s="3" t="str">
        <x:v>D7_I405</x:v>
      </x:c>
      <x:c r="C60" s="3" t="str">
        <x:v>R3</x:v>
      </x:c>
      <x:c r="D60" s="3" t="str">
        <x:v>多跳直接</x:v>
      </x:c>
      <x:c r="E60" s="25" t="n">
        <x:v>425258</x:v>
      </x:c>
      <x:c r="F60" s="15" t="n">
        <x:v>2.803547791016513</x:v>
      </x:c>
      <x:c r="G60" s="15" t="n">
        <x:v>49.40968871810478</x:v>
      </x:c>
      <x:c r="H60" s="14" t="n">
        <x:v>0.8878580883593394</x:v>
      </x:c>
      <x:c r="I60" s="14" t="n">
        <x:v>0.9176505188031587</x:v>
      </x:c>
      <x:c r="J60" s="14" t="n">
        <x:v>0.9015626063634964</x:v>
      </x:c>
    </x:row>
    <x:row r="61" ht="25" customHeight="1">
      <x:c r="A61" s="3" t="str">
        <x:v>D7_I405_N</x:v>
      </x:c>
      <x:c r="B61" s="3" t="str">
        <x:v>D7_I405</x:v>
      </x:c>
      <x:c r="C61" s="3" t="str">
        <x:v>R1</x:v>
      </x:c>
      <x:c r="D61" s="3" t="str">
        <x:v>50%等权融合</x:v>
      </x:c>
      <x:c r="E61" s="25" t="n">
        <x:v>139020</x:v>
      </x:c>
      <x:c r="F61" s="15" t="n">
        <x:v>2.0722582785625807</x:v>
      </x:c>
      <x:c r="G61" s="15" t="n">
        <x:v>43.26117160843361</x:v>
      </x:c>
      <x:c r="H61" s="14" t="n">
        <x:v>0.9171096688574968</x:v>
      </x:c>
      <x:c r="I61" s="14" t="n">
        <x:v>0.9278980473192773</x:v>
      </x:c>
      <x:c r="J61" s="14" t="n">
        <x:v>0.9220723229499159</x:v>
      </x:c>
    </x:row>
    <x:row r="62" ht="25" customHeight="1">
      <x:c r="A62" s="3" t="str">
        <x:v>D7_I405_N</x:v>
      </x:c>
      <x:c r="B62" s="3" t="str">
        <x:v>D7_I405</x:v>
      </x:c>
      <x:c r="C62" s="3" t="str">
        <x:v>R2</x:v>
      </x:c>
      <x:c r="D62" s="3" t="str">
        <x:v>50%等权融合</x:v>
      </x:c>
      <x:c r="E62" s="25" t="n">
        <x:v>255417</x:v>
      </x:c>
      <x:c r="F62" s="15" t="n">
        <x:v>2.111686855170729</x:v>
      </x:c>
      <x:c r="G62" s="15" t="n">
        <x:v>43.715910292203205</x:v>
      </x:c>
      <x:c r="H62" s="14" t="n">
        <x:v>0.9155325257931708</x:v>
      </x:c>
      <x:c r="I62" s="14" t="n">
        <x:v>0.9271401495129946</x:v>
      </x:c>
      <x:c r="J62" s="14" t="n">
        <x:v>0.9208720327042899</x:v>
      </x:c>
    </x:row>
    <x:row r="63" ht="25" customHeight="1">
      <x:c r="A63" s="3" t="str">
        <x:v>D7_I405_N</x:v>
      </x:c>
      <x:c r="B63" s="3" t="str">
        <x:v>D7_I405</x:v>
      </x:c>
      <x:c r="C63" s="3" t="str">
        <x:v>R3</x:v>
      </x:c>
      <x:c r="D63" s="3" t="str">
        <x:v>50%等权融合</x:v>
      </x:c>
      <x:c r="E63" s="25" t="n">
        <x:v>425258</x:v>
      </x:c>
      <x:c r="F63" s="15" t="n">
        <x:v>2.7988353546901985</x:v>
      </x:c>
      <x:c r="G63" s="15" t="n">
        <x:v>49.37427719477788</x:v>
      </x:c>
      <x:c r="H63" s="14" t="n">
        <x:v>0.888046585812392</x:v>
      </x:c>
      <x:c r="I63" s="14" t="n">
        <x:v>0.9177095380087035</x:v>
      </x:c>
      <x:c r="J63" s="14" t="n">
        <x:v>0.9016915438226953</x:v>
      </x:c>
    </x:row>
    <x:row r="64" ht="25" customHeight="1">
      <x:c r="A64" s="3" t="str">
        <x:v>D7_I405_N</x:v>
      </x:c>
      <x:c r="B64" s="3" t="str">
        <x:v>D7_I405</x:v>
      </x:c>
      <x:c r="C64" s="3" t="str">
        <x:v>R1</x:v>
      </x:c>
      <x:c r="D64" s="3" t="str">
        <x:v>60分钟切换融合</x:v>
      </x:c>
      <x:c r="E64" s="25" t="n">
        <x:v>139020</x:v>
      </x:c>
      <x:c r="F64" s="15" t="n">
        <x:v>2.0709856783629537</x:v>
      </x:c>
      <x:c r="G64" s="15" t="n">
        <x:v>43.25243042448303</x:v>
      </x:c>
      <x:c r="H64" s="14" t="n">
        <x:v>0.9171605728654819</x:v>
      </x:c>
      <x:c r="I64" s="14" t="n">
        <x:v>0.9279126159591949</x:v>
      </x:c>
      <x:c r="J64" s="14" t="n">
        <x:v>0.9221065126885899</x:v>
      </x:c>
    </x:row>
    <x:row r="65" ht="25" customHeight="1">
      <x:c r="A65" s="3" t="str">
        <x:v>D7_I405_N</x:v>
      </x:c>
      <x:c r="B65" s="3" t="str">
        <x:v>D7_I405</x:v>
      </x:c>
      <x:c r="C65" s="3" t="str">
        <x:v>R2</x:v>
      </x:c>
      <x:c r="D65" s="3" t="str">
        <x:v>60分钟切换融合</x:v>
      </x:c>
      <x:c r="E65" s="25" t="n">
        <x:v>255417</x:v>
      </x:c>
      <x:c r="F65" s="15" t="n">
        <x:v>2.1107109196514013</x:v>
      </x:c>
      <x:c r="G65" s="15" t="n">
        <x:v>43.70470166974047</x:v>
      </x:c>
      <x:c r="H65" s="14" t="n">
        <x:v>0.915571563213944</x:v>
      </x:c>
      <x:c r="I65" s="14" t="n">
        <x:v>0.9271588305504326</x:v>
      </x:c>
      <x:c r="J65" s="14" t="n">
        <x:v>0.9209017061887288</x:v>
      </x:c>
    </x:row>
    <x:row r="66" ht="25" customHeight="1">
      <x:c r="A66" s="3" t="str">
        <x:v>D7_I405_N</x:v>
      </x:c>
      <x:c r="B66" s="3" t="str">
        <x:v>D7_I405</x:v>
      </x:c>
      <x:c r="C66" s="3" t="str">
        <x:v>R3</x:v>
      </x:c>
      <x:c r="D66" s="3" t="str">
        <x:v>60分钟切换融合</x:v>
      </x:c>
      <x:c r="E66" s="25" t="n">
        <x:v>425258</x:v>
      </x:c>
      <x:c r="F66" s="15" t="n">
        <x:v>2.7812584576145167</x:v>
      </x:c>
      <x:c r="G66" s="15" t="n">
        <x:v>49.27797120826434</x:v>
      </x:c>
      <x:c r="H66" s="14" t="n">
        <x:v>0.8887496616954194</x:v>
      </x:c>
      <x:c r="I66" s="14" t="n">
        <x:v>0.9178700479862261</x:v>
      </x:c>
      <x:c r="J66" s="14" t="n">
        <x:v>0.9021450393891906</x:v>
      </x:c>
    </x:row>
    <x:row r="67" ht="25" customHeight="1">
      <x:c r="A67" s="3" t="str">
        <x:v>D7_I405_S</x:v>
      </x:c>
      <x:c r="B67" s="3" t="str">
        <x:v>D7_I405</x:v>
      </x:c>
      <x:c r="C67" s="3" t="str">
        <x:v>R1</x:v>
      </x:c>
      <x:c r="D67" s="3" t="str">
        <x:v>多跳残差</x:v>
      </x:c>
      <x:c r="E67" s="25" t="n">
        <x:v>52552</x:v>
      </x:c>
      <x:c r="F67" s="15" t="n">
        <x:v>2.713769077306642</x:v>
      </x:c>
      <x:c r="G67" s="15" t="n">
        <x:v>40.01074871640354</x:v>
      </x:c>
      <x:c r="H67" s="14" t="n">
        <x:v>0.8914492369077343</x:v>
      </x:c>
      <x:c r="I67" s="14" t="n">
        <x:v>0.9333154188059941</x:v>
      </x:c>
      <x:c r="J67" s="14" t="n">
        <x:v>0.9107076805809338</x:v>
      </x:c>
    </x:row>
    <x:row r="68" ht="25" customHeight="1">
      <x:c r="A68" s="3" t="str">
        <x:v>D7_I405_S</x:v>
      </x:c>
      <x:c r="B68" s="3" t="str">
        <x:v>D7_I405</x:v>
      </x:c>
      <x:c r="C68" s="3" t="str">
        <x:v>R2</x:v>
      </x:c>
      <x:c r="D68" s="3" t="str">
        <x:v>多跳残差</x:v>
      </x:c>
      <x:c r="E68" s="25" t="n">
        <x:v>86629</x:v>
      </x:c>
      <x:c r="F68" s="15" t="n">
        <x:v>2.9022204346892932</x:v>
      </x:c>
      <x:c r="G68" s="15" t="n">
        <x:v>40.61001610008022</x:v>
      </x:c>
      <x:c r="H68" s="14" t="n">
        <x:v>0.8839111826124283</x:v>
      </x:c>
      <x:c r="I68" s="14" t="n">
        <x:v>0.9323166398331997</x:v>
      </x:c>
      <x:c r="J68" s="14" t="n">
        <x:v>0.9061776929339832</x:v>
      </x:c>
    </x:row>
    <x:row r="69" ht="25" customHeight="1">
      <x:c r="A69" s="3" t="str">
        <x:v>D7_I405_S</x:v>
      </x:c>
      <x:c r="B69" s="3" t="str">
        <x:v>D7_I405</x:v>
      </x:c>
      <x:c r="C69" s="3" t="str">
        <x:v>R3</x:v>
      </x:c>
      <x:c r="D69" s="3" t="str">
        <x:v>多跳残差</x:v>
      </x:c>
      <x:c r="E69" s="25" t="n">
        <x:v>95617</x:v>
      </x:c>
      <x:c r="F69" s="15" t="n">
        <x:v>3.1985199217417772</x:v>
      </x:c>
      <x:c r="G69" s="15" t="n">
        <x:v>42.52507959768541</x:v>
      </x:c>
      <x:c r="H69" s="14" t="n">
        <x:v>0.8720592031303289</x:v>
      </x:c>
      <x:c r="I69" s="14" t="n">
        <x:v>0.929124867337191</x:v>
      </x:c>
      <x:c r="J69" s="14" t="n">
        <x:v>0.8983094086654855</x:v>
      </x:c>
    </x:row>
    <x:row r="70" ht="25" customHeight="1">
      <x:c r="A70" s="3" t="str">
        <x:v>D7_I405_S</x:v>
      </x:c>
      <x:c r="B70" s="3" t="str">
        <x:v>D7_I405</x:v>
      </x:c>
      <x:c r="C70" s="3" t="str">
        <x:v>R1</x:v>
      </x:c>
      <x:c r="D70" s="3" t="str">
        <x:v>多跳直接</x:v>
      </x:c>
      <x:c r="E70" s="25" t="n">
        <x:v>52552</x:v>
      </x:c>
      <x:c r="F70" s="15" t="n">
        <x:v>2.7646574519853133</x:v>
      </x:c>
      <x:c r="G70" s="15" t="n">
        <x:v>40.26385681321016</x:v>
      </x:c>
      <x:c r="H70" s="14" t="n">
        <x:v>0.8894137019205874</x:v>
      </x:c>
      <x:c r="I70" s="14" t="n">
        <x:v>0.9328935719779831</x:v>
      </x:c>
      <x:c r="J70" s="14" t="n">
        <x:v>0.9094144421469894</x:v>
      </x:c>
    </x:row>
    <x:row r="71" ht="25" customHeight="1">
      <x:c r="A71" s="3" t="str">
        <x:v>D7_I405_S</x:v>
      </x:c>
      <x:c r="B71" s="3" t="str">
        <x:v>D7_I405</x:v>
      </x:c>
      <x:c r="C71" s="3" t="str">
        <x:v>R2</x:v>
      </x:c>
      <x:c r="D71" s="3" t="str">
        <x:v>多跳直接</x:v>
      </x:c>
      <x:c r="E71" s="25" t="n">
        <x:v>86629</x:v>
      </x:c>
      <x:c r="F71" s="15" t="n">
        <x:v>2.940104059255212</x:v>
      </x:c>
      <x:c r="G71" s="15" t="n">
        <x:v>40.79093576716715</x:v>
      </x:c>
      <x:c r="H71" s="14" t="n">
        <x:v>0.8823958376297916</x:v>
      </x:c>
      <x:c r="I71" s="14" t="n">
        <x:v>0.9320151070547215</x:v>
      </x:c>
      <x:c r="J71" s="14" t="n">
        <x:v>0.9052207015652594</x:v>
      </x:c>
    </x:row>
    <x:row r="72" ht="25" customHeight="1">
      <x:c r="A72" s="3" t="str">
        <x:v>D7_I405_S</x:v>
      </x:c>
      <x:c r="B72" s="3" t="str">
        <x:v>D7_I405</x:v>
      </x:c>
      <x:c r="C72" s="3" t="str">
        <x:v>R3</x:v>
      </x:c>
      <x:c r="D72" s="3" t="str">
        <x:v>多跳直接</x:v>
      </x:c>
      <x:c r="E72" s="25" t="n">
        <x:v>95617</x:v>
      </x:c>
      <x:c r="F72" s="15" t="n">
        <x:v>3.1696854177792066</x:v>
      </x:c>
      <x:c r="G72" s="15" t="n">
        <x:v>42.572838934731934</x:v>
      </x:c>
      <x:c r="H72" s="14" t="n">
        <x:v>0.8732125832888318</x:v>
      </x:c>
      <x:c r="I72" s="14" t="n">
        <x:v>0.9290452684421134</x:v>
      </x:c>
      <x:c r="J72" s="14" t="n">
        <x:v>0.8988956184593413</x:v>
      </x:c>
    </x:row>
    <x:row r="73" ht="25" customHeight="1">
      <x:c r="A73" s="3" t="str">
        <x:v>D7_I405_S</x:v>
      </x:c>
      <x:c r="B73" s="3" t="str">
        <x:v>D7_I405</x:v>
      </x:c>
      <x:c r="C73" s="3" t="str">
        <x:v>R1</x:v>
      </x:c>
      <x:c r="D73" s="3" t="str">
        <x:v>50%等权融合</x:v>
      </x:c>
      <x:c r="E73" s="25" t="n">
        <x:v>52552</x:v>
      </x:c>
      <x:c r="F73" s="15" t="n">
        <x:v>2.709531374968899</x:v>
      </x:c>
      <x:c r="G73" s="15" t="n">
        <x:v>39.909514337790576</x:v>
      </x:c>
      <x:c r="H73" s="14" t="n">
        <x:v>0.891618745001244</x:v>
      </x:c>
      <x:c r="I73" s="14" t="n">
        <x:v>0.9334841427703491</x:v>
      </x:c>
      <x:c r="J73" s="14" t="n">
        <x:v>0.9108768279750324</x:v>
      </x:c>
    </x:row>
    <x:row r="74" ht="25" customHeight="1">
      <x:c r="A74" s="3" t="str">
        <x:v>D7_I405_S</x:v>
      </x:c>
      <x:c r="B74" s="3" t="str">
        <x:v>D7_I405</x:v>
      </x:c>
      <x:c r="C74" s="3" t="str">
        <x:v>R2</x:v>
      </x:c>
      <x:c r="D74" s="3" t="str">
        <x:v>50%等权融合</x:v>
      </x:c>
      <x:c r="E74" s="25" t="n">
        <x:v>86629</x:v>
      </x:c>
      <x:c r="F74" s="15" t="n">
        <x:v>2.891243019887472</x:v>
      </x:c>
      <x:c r="G74" s="15" t="n">
        <x:v>40.481807812462286</x:v>
      </x:c>
      <x:c r="H74" s="14" t="n">
        <x:v>0.8843502792045012</x:v>
      </x:c>
      <x:c r="I74" s="14" t="n">
        <x:v>0.9325303203125629</x:v>
      </x:c>
      <x:c r="J74" s="14" t="n">
        <x:v>0.9065130981142095</x:v>
      </x:c>
    </x:row>
    <x:row r="75" ht="25" customHeight="1">
      <x:c r="A75" s="3" t="str">
        <x:v>D7_I405_S</x:v>
      </x:c>
      <x:c r="B75" s="3" t="str">
        <x:v>D7_I405</x:v>
      </x:c>
      <x:c r="C75" s="3" t="str">
        <x:v>R3</x:v>
      </x:c>
      <x:c r="D75" s="3" t="str">
        <x:v>50%等权融合</x:v>
      </x:c>
      <x:c r="E75" s="25" t="n">
        <x:v>95617</x:v>
      </x:c>
      <x:c r="F75" s="15" t="n">
        <x:v>3.1432393156707024</x:v>
      </x:c>
      <x:c r="G75" s="15" t="n">
        <x:v>42.29104436211813</x:v>
      </x:c>
      <x:c r="H75" s="14" t="n">
        <x:v>0.8742704273731718</x:v>
      </x:c>
      <x:c r="I75" s="14" t="n">
        <x:v>0.9295149260631365</x:v>
      </x:c>
      <x:c r="J75" s="14" t="n">
        <x:v>0.8996828967705556</x:v>
      </x:c>
    </x:row>
    <x:row r="76" ht="25" customHeight="1">
      <x:c r="A76" s="3" t="str">
        <x:v>D7_I405_S</x:v>
      </x:c>
      <x:c r="B76" s="3" t="str">
        <x:v>D7_I405</x:v>
      </x:c>
      <x:c r="C76" s="3" t="str">
        <x:v>R1</x:v>
      </x:c>
      <x:c r="D76" s="3" t="str">
        <x:v>60分钟切换融合</x:v>
      </x:c>
      <x:c r="E76" s="25" t="n">
        <x:v>52552</x:v>
      </x:c>
      <x:c r="F76" s="15" t="n">
        <x:v>2.70994702658655</x:v>
      </x:c>
      <x:c r="G76" s="15" t="n">
        <x:v>39.919512254550185</x:v>
      </x:c>
      <x:c r="H76" s="14" t="n">
        <x:v>0.891602118936538</x:v>
      </x:c>
      <x:c r="I76" s="14" t="n">
        <x:v>0.9334674795757497</x:v>
      </x:c>
      <x:c r="J76" s="14" t="n">
        <x:v>0.9108601848305754</x:v>
      </x:c>
    </x:row>
    <x:row r="77" ht="25" customHeight="1">
      <x:c r="A77" s="3" t="str">
        <x:v>D7_I405_S</x:v>
      </x:c>
      <x:c r="B77" s="3" t="str">
        <x:v>D7_I405</x:v>
      </x:c>
      <x:c r="C77" s="3" t="str">
        <x:v>R2</x:v>
      </x:c>
      <x:c r="D77" s="3" t="str">
        <x:v>60分钟切换融合</x:v>
      </x:c>
      <x:c r="E77" s="25" t="n">
        <x:v>86629</x:v>
      </x:c>
      <x:c r="F77" s="15" t="n">
        <x:v>2.889462589599903</x:v>
      </x:c>
      <x:c r="G77" s="15" t="n">
        <x:v>40.49408048754584</x:v>
      </x:c>
      <x:c r="H77" s="14" t="n">
        <x:v>0.8844214964160039</x:v>
      </x:c>
      <x:c r="I77" s="14" t="n">
        <x:v>0.9325098658540902</x:v>
      </x:c>
      <x:c r="J77" s="14" t="n">
        <x:v>0.9065421463575236</x:v>
      </x:c>
    </x:row>
    <x:row r="78" ht="25" customHeight="1">
      <x:c r="A78" s="3" t="str">
        <x:v>D7_I405_S</x:v>
      </x:c>
      <x:c r="B78" s="3" t="str">
        <x:v>D7_I405</x:v>
      </x:c>
      <x:c r="C78" s="3" t="str">
        <x:v>R3</x:v>
      </x:c>
      <x:c r="D78" s="3" t="str">
        <x:v>60分钟切换融合</x:v>
      </x:c>
      <x:c r="E78" s="25" t="n">
        <x:v>95617</x:v>
      </x:c>
      <x:c r="F78" s="15" t="n">
        <x:v>3.1098648158645537</x:v>
      </x:c>
      <x:c r="G78" s="15" t="n">
        <x:v>42.285230540285056</x:v>
      </x:c>
      <x:c r="H78" s="14" t="n">
        <x:v>0.8756054073654178</x:v>
      </x:c>
      <x:c r="I78" s="14" t="n">
        <x:v>0.9295246157661916</x:v>
      </x:c>
      <x:c r="J78" s="14" t="n">
        <x:v>0.9004082432297738</x:v>
      </x:c>
    </x:row>
    <x:row r="79" ht="25" customHeight="1">
      <x:c r="A79" s="3" t="str">
        <x:v>D12_I5_N</x:v>
      </x:c>
      <x:c r="B79" s="3" t="str">
        <x:v>D12_I5</x:v>
      </x:c>
      <x:c r="C79" s="3" t="str">
        <x:v>R1</x:v>
      </x:c>
      <x:c r="D79" s="3" t="str">
        <x:v>多跳残差</x:v>
      </x:c>
      <x:c r="E79" s="25" t="n">
        <x:v>136093</x:v>
      </x:c>
      <x:c r="F79" s="15" t="n">
        <x:v>1.737698212011582</x:v>
      </x:c>
      <x:c r="G79" s="15" t="n">
        <x:v>33.08619684053119</x:v>
      </x:c>
      <x:c r="H79" s="14" t="n">
        <x:v>0.9304920715195367</x:v>
      </x:c>
      <x:c r="I79" s="14" t="n">
        <x:v>0.9448563385991147</x:v>
      </x:c>
      <x:c r="J79" s="14" t="n">
        <x:v>0.9370996343761426</x:v>
      </x:c>
    </x:row>
    <x:row r="80" ht="25" customHeight="1">
      <x:c r="A80" s="3" t="str">
        <x:v>D12_I5_N</x:v>
      </x:c>
      <x:c r="B80" s="3" t="str">
        <x:v>D12_I5</x:v>
      </x:c>
      <x:c r="C80" s="3" t="str">
        <x:v>R2</x:v>
      </x:c>
      <x:c r="D80" s="3" t="str">
        <x:v>多跳残差</x:v>
      </x:c>
      <x:c r="E80" s="25" t="n">
        <x:v>187249</x:v>
      </x:c>
      <x:c r="F80" s="15" t="n">
        <x:v>2.0112622804447393</x:v>
      </x:c>
      <x:c r="G80" s="15" t="n">
        <x:v>36.33874089545183</x:v>
      </x:c>
      <x:c r="H80" s="14" t="n">
        <x:v>0.9195495087822104</x:v>
      </x:c>
      <x:c r="I80" s="14" t="n">
        <x:v>0.9394354318409136</x:v>
      </x:c>
      <x:c r="J80" s="14" t="n">
        <x:v>0.9286970333892139</x:v>
      </x:c>
    </x:row>
    <x:row r="81" ht="25" customHeight="1">
      <x:c r="A81" s="3" t="str">
        <x:v>D12_I5_N</x:v>
      </x:c>
      <x:c r="B81" s="3" t="str">
        <x:v>D12_I5</x:v>
      </x:c>
      <x:c r="C81" s="3" t="str">
        <x:v>R3</x:v>
      </x:c>
      <x:c r="D81" s="3" t="str">
        <x:v>多跳残差</x:v>
      </x:c>
      <x:c r="E81" s="25" t="n">
        <x:v>226807</x:v>
      </x:c>
      <x:c r="F81" s="15" t="n">
        <x:v>2.6453477770584404</x:v>
      </x:c>
      <x:c r="G81" s="15" t="n">
        <x:v>40.041269361237845</x:v>
      </x:c>
      <x:c r="H81" s="14" t="n">
        <x:v>0.8941860889176624</x:v>
      </x:c>
      <x:c r="I81" s="14" t="n">
        <x:v>0.9332645510646036</x:v>
      </x:c>
      <x:c r="J81" s="14" t="n">
        <x:v>0.9121621815052554</x:v>
      </x:c>
    </x:row>
    <x:row r="82" ht="25" customHeight="1">
      <x:c r="A82" s="3" t="str">
        <x:v>D12_I5_N</x:v>
      </x:c>
      <x:c r="B82" s="3" t="str">
        <x:v>D12_I5</x:v>
      </x:c>
      <x:c r="C82" s="3" t="str">
        <x:v>R1</x:v>
      </x:c>
      <x:c r="D82" s="3" t="str">
        <x:v>多跳直接</x:v>
      </x:c>
      <x:c r="E82" s="25" t="n">
        <x:v>136093</x:v>
      </x:c>
      <x:c r="F82" s="15" t="n">
        <x:v>1.7860437697399758</x:v>
      </x:c>
      <x:c r="G82" s="15" t="n">
        <x:v>33.013643023228596</x:v>
      </x:c>
      <x:c r="H82" s="14" t="n">
        <x:v>0.928558249210401</x:v>
      </x:c>
      <x:c r="I82" s="14" t="n">
        <x:v>0.9449772616279524</x:v>
      </x:c>
      <x:c r="J82" s="14" t="n">
        <x:v>0.9361109949224746</x:v>
      </x:c>
    </x:row>
    <x:row r="83" ht="25" customHeight="1">
      <x:c r="A83" s="3" t="str">
        <x:v>D12_I5_N</x:v>
      </x:c>
      <x:c r="B83" s="3" t="str">
        <x:v>D12_I5</x:v>
      </x:c>
      <x:c r="C83" s="3" t="str">
        <x:v>R2</x:v>
      </x:c>
      <x:c r="D83" s="3" t="str">
        <x:v>多跳直接</x:v>
      </x:c>
      <x:c r="E83" s="25" t="n">
        <x:v>187249</x:v>
      </x:c>
      <x:c r="F83" s="15" t="n">
        <x:v>2.0324804819885363</x:v>
      </x:c>
      <x:c r="G83" s="15" t="n">
        <x:v>36.300298608743056</x:v>
      </x:c>
      <x:c r="H83" s="14" t="n">
        <x:v>0.9187007807204586</x:v>
      </x:c>
      <x:c r="I83" s="14" t="n">
        <x:v>0.9394995023187616</x:v>
      </x:c>
      <x:c r="J83" s="14" t="n">
        <x:v>0.928268192655678</x:v>
      </x:c>
    </x:row>
    <x:row r="84" ht="25" customHeight="1">
      <x:c r="A84" s="3" t="str">
        <x:v>D12_I5_N</x:v>
      </x:c>
      <x:c r="B84" s="3" t="str">
        <x:v>D12_I5</x:v>
      </x:c>
      <x:c r="C84" s="3" t="str">
        <x:v>R3</x:v>
      </x:c>
      <x:c r="D84" s="3" t="str">
        <x:v>多跳直接</x:v>
      </x:c>
      <x:c r="E84" s="25" t="n">
        <x:v>226807</x:v>
      </x:c>
      <x:c r="F84" s="15" t="n">
        <x:v>2.588114948831754</x:v>
      </x:c>
      <x:c r="G84" s="15" t="n">
        <x:v>39.61391804272298</x:v>
      </x:c>
      <x:c r="H84" s="14" t="n">
        <x:v>0.8964754020467298</x:v>
      </x:c>
      <x:c r="I84" s="14" t="n">
        <x:v>0.9339768032621284</x:v>
      </x:c>
      <x:c r="J84" s="14" t="n">
        <x:v>0.9137260466058132</x:v>
      </x:c>
    </x:row>
    <x:row r="85" ht="25" customHeight="1">
      <x:c r="A85" s="3" t="str">
        <x:v>D12_I5_N</x:v>
      </x:c>
      <x:c r="B85" s="3" t="str">
        <x:v>D12_I5</x:v>
      </x:c>
      <x:c r="C85" s="3" t="str">
        <x:v>R1</x:v>
      </x:c>
      <x:c r="D85" s="3" t="str">
        <x:v>50%等权融合</x:v>
      </x:c>
      <x:c r="E85" s="25" t="n">
        <x:v>136093</x:v>
      </x:c>
      <x:c r="F85" s="15" t="n">
        <x:v>1.6998355164188343</x:v>
      </x:c>
      <x:c r="G85" s="15" t="n">
        <x:v>32.75832570461624</x:v>
      </x:c>
      <x:c r="H85" s="14" t="n">
        <x:v>0.9320065793432466</x:v>
      </x:c>
      <x:c r="I85" s="14" t="n">
        <x:v>0.9454027904923062</x:v>
      </x:c>
      <x:c r="J85" s="14" t="n">
        <x:v>0.9381688364718141</x:v>
      </x:c>
    </x:row>
    <x:row r="86" ht="25" customHeight="1">
      <x:c r="A86" s="3" t="str">
        <x:v>D12_I5_N</x:v>
      </x:c>
      <x:c r="B86" s="3" t="str">
        <x:v>D12_I5</x:v>
      </x:c>
      <x:c r="C86" s="3" t="str">
        <x:v>R2</x:v>
      </x:c>
      <x:c r="D86" s="3" t="str">
        <x:v>50%等权融合</x:v>
      </x:c>
      <x:c r="E86" s="25" t="n">
        <x:v>187249</x:v>
      </x:c>
      <x:c r="F86" s="15" t="n">
        <x:v>1.9458011768103654</x:v>
      </x:c>
      <x:c r="G86" s="15" t="n">
        <x:v>36.001153090049485</x:v>
      </x:c>
      <x:c r="H86" s="14" t="n">
        <x:v>0.9221679529275854</x:v>
      </x:c>
      <x:c r="I86" s="14" t="n">
        <x:v>0.9399980781832509</x:v>
      </x:c>
      <x:c r="J86" s="14" t="n">
        <x:v>0.9303698105451915</x:v>
      </x:c>
    </x:row>
    <x:row r="87" ht="25" customHeight="1">
      <x:c r="A87" s="3" t="str">
        <x:v>D12_I5_N</x:v>
      </x:c>
      <x:c r="B87" s="3" t="str">
        <x:v>D12_I5</x:v>
      </x:c>
      <x:c r="C87" s="3" t="str">
        <x:v>R3</x:v>
      </x:c>
      <x:c r="D87" s="3" t="str">
        <x:v>50%等权融合</x:v>
      </x:c>
      <x:c r="E87" s="25" t="n">
        <x:v>226807</x:v>
      </x:c>
      <x:c r="F87" s="15" t="n">
        <x:v>2.535594371947462</x:v>
      </x:c>
      <x:c r="G87" s="15" t="n">
        <x:v>39.521915363447455</x:v>
      </x:c>
      <x:c r="H87" s="14" t="n">
        <x:v>0.8985762251221016</x:v>
      </x:c>
      <x:c r="I87" s="14" t="n">
        <x:v>0.9341301410609208</x:v>
      </x:c>
      <x:c r="J87" s="14" t="n">
        <x:v>0.9149310264539585</x:v>
      </x:c>
    </x:row>
    <x:row r="88" ht="25" customHeight="1">
      <x:c r="A88" s="3" t="str">
        <x:v>D12_I5_N</x:v>
      </x:c>
      <x:c r="B88" s="3" t="str">
        <x:v>D12_I5</x:v>
      </x:c>
      <x:c r="C88" s="3" t="str">
        <x:v>R1</x:v>
      </x:c>
      <x:c r="D88" s="3" t="str">
        <x:v>60分钟切换融合</x:v>
      </x:c>
      <x:c r="E88" s="25" t="n">
        <x:v>136093</x:v>
      </x:c>
      <x:c r="F88" s="15" t="n">
        <x:v>1.6994837169668673</x:v>
      </x:c>
      <x:c r="G88" s="15" t="n">
        <x:v>32.75416816610701</x:v>
      </x:c>
      <x:c r="H88" s="14" t="n">
        <x:v>0.9320206513213253</x:v>
      </x:c>
      <x:c r="I88" s="14" t="n">
        <x:v>0.945409719723155</x:v>
      </x:c>
      <x:c r="J88" s="14" t="n">
        <x:v>0.938179622786167</x:v>
      </x:c>
    </x:row>
    <x:row r="89" ht="25" customHeight="1">
      <x:c r="A89" s="3" t="str">
        <x:v>D12_I5_N</x:v>
      </x:c>
      <x:c r="B89" s="3" t="str">
        <x:v>D12_I5</x:v>
      </x:c>
      <x:c r="C89" s="3" t="str">
        <x:v>R2</x:v>
      </x:c>
      <x:c r="D89" s="3" t="str">
        <x:v>60分钟切换融合</x:v>
      </x:c>
      <x:c r="E89" s="25" t="n">
        <x:v>187249</x:v>
      </x:c>
      <x:c r="F89" s="15" t="n">
        <x:v>1.943986981020202</x:v>
      </x:c>
      <x:c r="G89" s="15" t="n">
        <x:v>35.944883328779795</x:v>
      </x:c>
      <x:c r="H89" s="14" t="n">
        <x:v>0.9222405207591919</x:v>
      </x:c>
      <x:c r="I89" s="14" t="n">
        <x:v>0.9400918611187004</x:v>
      </x:c>
      <x:c r="J89" s="14" t="n">
        <x:v>0.9304521373245659</x:v>
      </x:c>
    </x:row>
    <x:row r="90" ht="25" customHeight="1">
      <x:c r="A90" s="3" t="str">
        <x:v>D12_I5_N</x:v>
      </x:c>
      <x:c r="B90" s="3" t="str">
        <x:v>D12_I5</x:v>
      </x:c>
      <x:c r="C90" s="3" t="str">
        <x:v>R3</x:v>
      </x:c>
      <x:c r="D90" s="3" t="str">
        <x:v>60分钟切换融合</x:v>
      </x:c>
      <x:c r="E90" s="25" t="n">
        <x:v>226807</x:v>
      </x:c>
      <x:c r="F90" s="15" t="n">
        <x:v>2.5147549404271343</x:v>
      </x:c>
      <x:c r="G90" s="15" t="n">
        <x:v>39.42369205353884</x:v>
      </x:c>
      <x:c r="H90" s="14" t="n">
        <x:v>0.8994098023829147</x:v>
      </x:c>
      <x:c r="I90" s="14" t="n">
        <x:v>0.9342938465774353</x:v>
      </x:c>
      <x:c r="J90" s="14" t="n">
        <x:v>0.9154564627123942</x:v>
      </x:c>
    </x:row>
    <x:row r="91" ht="25" customHeight="1">
      <x:c r="A91" s="3" t="str">
        <x:v>D12_I5_S</x:v>
      </x:c>
      <x:c r="B91" s="3" t="str">
        <x:v>D12_I5</x:v>
      </x:c>
      <x:c r="C91" s="3" t="str">
        <x:v>R1</x:v>
      </x:c>
      <x:c r="D91" s="3" t="str">
        <x:v>多跳残差</x:v>
      </x:c>
      <x:c r="E91" s="25" t="n">
        <x:v>34792</x:v>
      </x:c>
      <x:c r="F91" s="15" t="n">
        <x:v>2.1421343505128405</x:v>
      </x:c>
      <x:c r="G91" s="15" t="n">
        <x:v>33.80312241852454</x:v>
      </x:c>
      <x:c r="H91" s="14" t="n">
        <x:v>0.9143146259794863</x:v>
      </x:c>
      <x:c r="I91" s="14" t="n">
        <x:v>0.9436614626357924</x:v>
      </x:c>
      <x:c r="J91" s="14" t="n">
        <x:v>0.9278141708413872</x:v>
      </x:c>
    </x:row>
    <x:row r="92" ht="25" customHeight="1">
      <x:c r="A92" s="3" t="str">
        <x:v>D12_I5_S</x:v>
      </x:c>
      <x:c r="B92" s="3" t="str">
        <x:v>D12_I5</x:v>
      </x:c>
      <x:c r="C92" s="3" t="str">
        <x:v>R2</x:v>
      </x:c>
      <x:c r="D92" s="3" t="str">
        <x:v>多跳残差</x:v>
      </x:c>
      <x:c r="E92" s="25" t="n">
        <x:v>85732</x:v>
      </x:c>
      <x:c r="F92" s="15" t="n">
        <x:v>2.623534907465685</x:v>
      </x:c>
      <x:c r="G92" s="15" t="n">
        <x:v>38.58732997978323</x:v>
      </x:c>
      <x:c r="H92" s="14" t="n">
        <x:v>0.8950586037013726</x:v>
      </x:c>
      <x:c r="I92" s="14" t="n">
        <x:v>0.935687783367028</x:v>
      </x:c>
      <x:c r="J92" s="14" t="n">
        <x:v>0.9137480263475741</x:v>
      </x:c>
    </x:row>
    <x:row r="93" ht="25" customHeight="1">
      <x:c r="A93" s="3" t="str">
        <x:v>D12_I5_S</x:v>
      </x:c>
      <x:c r="B93" s="3" t="str">
        <x:v>D12_I5</x:v>
      </x:c>
      <x:c r="C93" s="3" t="str">
        <x:v>R3</x:v>
      </x:c>
      <x:c r="D93" s="3" t="str">
        <x:v>多跳残差</x:v>
      </x:c>
      <x:c r="E93" s="25" t="n">
        <x:v>109914</x:v>
      </x:c>
      <x:c r="F93" s="15" t="n">
        <x:v>3.291205557124087</x:v>
      </x:c>
      <x:c r="G93" s="15" t="n">
        <x:v>44.80475131206716</x:v>
      </x:c>
      <x:c r="H93" s="14" t="n">
        <x:v>0.8683517777150365</x:v>
      </x:c>
      <x:c r="I93" s="14" t="n">
        <x:v>0.925325414479888</x:v>
      </x:c>
      <x:c r="J93" s="14" t="n">
        <x:v>0.8945596506268683</x:v>
      </x:c>
    </x:row>
    <x:row r="94" ht="25" customHeight="1">
      <x:c r="A94" s="3" t="str">
        <x:v>D12_I5_S</x:v>
      </x:c>
      <x:c r="B94" s="3" t="str">
        <x:v>D12_I5</x:v>
      </x:c>
      <x:c r="C94" s="3" t="str">
        <x:v>R1</x:v>
      </x:c>
      <x:c r="D94" s="3" t="str">
        <x:v>多跳直接</x:v>
      </x:c>
      <x:c r="E94" s="25" t="n">
        <x:v>34792</x:v>
      </x:c>
      <x:c r="F94" s="15" t="n">
        <x:v>2.197939249532327</x:v>
      </x:c>
      <x:c r="G94" s="15" t="n">
        <x:v>34.192413183958</x:v>
      </x:c>
      <x:c r="H94" s="14" t="n">
        <x:v>0.9120824300187069</x:v>
      </x:c>
      <x:c r="I94" s="14" t="n">
        <x:v>0.9430126446934033</x:v>
      </x:c>
      <x:c r="J94" s="14" t="n">
        <x:v>0.9263103287690673</x:v>
      </x:c>
    </x:row>
    <x:row r="95" ht="25" customHeight="1">
      <x:c r="A95" s="3" t="str">
        <x:v>D12_I5_S</x:v>
      </x:c>
      <x:c r="B95" s="3" t="str">
        <x:v>D12_I5</x:v>
      </x:c>
      <x:c r="C95" s="3" t="str">
        <x:v>R2</x:v>
      </x:c>
      <x:c r="D95" s="3" t="str">
        <x:v>多跳直接</x:v>
      </x:c>
      <x:c r="E95" s="25" t="n">
        <x:v>85732</x:v>
      </x:c>
      <x:c r="F95" s="15" t="n">
        <x:v>2.6288869277878644</x:v>
      </x:c>
      <x:c r="G95" s="15" t="n">
        <x:v>38.81046804437591</x:v>
      </x:c>
      <x:c r="H95" s="14" t="n">
        <x:v>0.8948445228884854</x:v>
      </x:c>
      <x:c r="I95" s="14" t="n">
        <x:v>0.9353158865927068</x:v>
      </x:c>
      <x:c r="J95" s="14" t="n">
        <x:v>0.9134613501924272</x:v>
      </x:c>
    </x:row>
    <x:row r="96" ht="25" customHeight="1">
      <x:c r="A96" s="3" t="str">
        <x:v>D12_I5_S</x:v>
      </x:c>
      <x:c r="B96" s="3" t="str">
        <x:v>D12_I5</x:v>
      </x:c>
      <x:c r="C96" s="3" t="str">
        <x:v>R3</x:v>
      </x:c>
      <x:c r="D96" s="3" t="str">
        <x:v>多跳直接</x:v>
      </x:c>
      <x:c r="E96" s="25" t="n">
        <x:v>109914</x:v>
      </x:c>
      <x:c r="F96" s="15" t="n">
        <x:v>3.2745593734509604</x:v>
      </x:c>
      <x:c r="G96" s="15" t="n">
        <x:v>44.59815306114329</x:v>
      </x:c>
      <x:c r="H96" s="14" t="n">
        <x:v>0.8690176250619616</x:v>
      </x:c>
      <x:c r="I96" s="14" t="n">
        <x:v>0.9256697448980945</x:v>
      </x:c>
      <x:c r="J96" s="14" t="n">
        <x:v>0.8950776001865828</x:v>
      </x:c>
    </x:row>
    <x:row r="97" ht="25" customHeight="1">
      <x:c r="A97" s="3" t="str">
        <x:v>D12_I5_S</x:v>
      </x:c>
      <x:c r="B97" s="3" t="str">
        <x:v>D12_I5</x:v>
      </x:c>
      <x:c r="C97" s="3" t="str">
        <x:v>R1</x:v>
      </x:c>
      <x:c r="D97" s="3" t="str">
        <x:v>50%等权融合</x:v>
      </x:c>
      <x:c r="E97" s="25" t="n">
        <x:v>34792</x:v>
      </x:c>
      <x:c r="F97" s="15" t="n">
        <x:v>2.1453723489925802</x:v>
      </x:c>
      <x:c r="G97" s="15" t="n">
        <x:v>33.75039590139735</x:v>
      </x:c>
      <x:c r="H97" s="14" t="n">
        <x:v>0.9141851060402968</x:v>
      </x:c>
      <x:c r="I97" s="14" t="n">
        <x:v>0.9437493401643378</x:v>
      </x:c>
      <x:c r="J97" s="14" t="n">
        <x:v>0.9277846537373557</x:v>
      </x:c>
    </x:row>
    <x:row r="98" ht="25" customHeight="1">
      <x:c r="A98" s="3" t="str">
        <x:v>D12_I5_S</x:v>
      </x:c>
      <x:c r="B98" s="3" t="str">
        <x:v>D12_I5</x:v>
      </x:c>
      <x:c r="C98" s="3" t="str">
        <x:v>R2</x:v>
      </x:c>
      <x:c r="D98" s="3" t="str">
        <x:v>50%等权融合</x:v>
      </x:c>
      <x:c r="E98" s="25" t="n">
        <x:v>85732</x:v>
      </x:c>
      <x:c r="F98" s="15" t="n">
        <x:v>2.595979386079782</x:v>
      </x:c>
      <x:c r="G98" s="15" t="n">
        <x:v>38.42029870282479</x:v>
      </x:c>
      <x:c r="H98" s="14" t="n">
        <x:v>0.8961608245568087</x:v>
      </x:c>
      <x:c r="I98" s="14" t="n">
        <x:v>0.9359661688286254</x:v>
      </x:c>
      <x:c r="J98" s="14" t="n">
        <x:v>0.9144712829218444</x:v>
      </x:c>
    </x:row>
    <x:row r="99" ht="25" customHeight="1">
      <x:c r="A99" s="3" t="str">
        <x:v>D12_I5_S</x:v>
      </x:c>
      <x:c r="B99" s="3" t="str">
        <x:v>D12_I5</x:v>
      </x:c>
      <x:c r="C99" s="3" t="str">
        <x:v>R3</x:v>
      </x:c>
      <x:c r="D99" s="3" t="str">
        <x:v>50%等权融合</x:v>
      </x:c>
      <x:c r="E99" s="25" t="n">
        <x:v>109914</x:v>
      </x:c>
      <x:c r="F99" s="15" t="n">
        <x:v>3.2479732990837067</x:v>
      </x:c>
      <x:c r="G99" s="15" t="n">
        <x:v>44.386755029902545</x:v>
      </x:c>
      <x:c r="H99" s="14" t="n">
        <x:v>0.8700810680366518</x:v>
      </x:c>
      <x:c r="I99" s="14" t="n">
        <x:v>0.9260220749501624</x:v>
      </x:c>
      <x:c r="J99" s="14" t="n">
        <x:v>0.8958139312168667</x:v>
      </x:c>
    </x:row>
    <x:row r="100" ht="25" customHeight="1">
      <x:c r="A100" s="3" t="str">
        <x:v>D12_I5_S</x:v>
      </x:c>
      <x:c r="B100" s="3" t="str">
        <x:v>D12_I5</x:v>
      </x:c>
      <x:c r="C100" s="3" t="str">
        <x:v>R1</x:v>
      </x:c>
      <x:c r="D100" s="3" t="str">
        <x:v>60分钟切换融合</x:v>
      </x:c>
      <x:c r="E100" s="25" t="n">
        <x:v>34792</x:v>
      </x:c>
      <x:c r="F100" s="15" t="n">
        <x:v>2.1439319651797537</x:v>
      </x:c>
      <x:c r="G100" s="15" t="n">
        <x:v>33.73779217546702</x:v>
      </x:c>
      <x:c r="H100" s="14" t="n">
        <x:v>0.9142427213928098</x:v>
      </x:c>
      <x:c r="I100" s="14" t="n">
        <x:v>0.9437703463742216</x:v>
      </x:c>
      <x:c r="J100" s="14" t="n">
        <x:v>0.9278254288842593</x:v>
      </x:c>
    </x:row>
    <x:row r="101" ht="25" customHeight="1">
      <x:c r="A101" s="3" t="str">
        <x:v>D12_I5_S</x:v>
      </x:c>
      <x:c r="B101" s="3" t="str">
        <x:v>D12_I5</x:v>
      </x:c>
      <x:c r="C101" s="3" t="str">
        <x:v>R2</x:v>
      </x:c>
      <x:c r="D101" s="3" t="str">
        <x:v>60分钟切换融合</x:v>
      </x:c>
      <x:c r="E101" s="25" t="n">
        <x:v>85732</x:v>
      </x:c>
      <x:c r="F101" s="15" t="n">
        <x:v>2.592629510642367</x:v>
      </x:c>
      <x:c r="G101" s="15" t="n">
        <x:v>38.394819111933515</x:v>
      </x:c>
      <x:c r="H101" s="14" t="n">
        <x:v>0.8962948195743053</x:v>
      </x:c>
      <x:c r="I101" s="14" t="n">
        <x:v>0.9360086348134441</x:v>
      </x:c>
      <x:c r="J101" s="14" t="n">
        <x:v>0.9145631745843092</x:v>
      </x:c>
    </x:row>
    <x:row r="102" ht="25" customHeight="1">
      <x:c r="A102" s="3" t="str">
        <x:v>D12_I5_S</x:v>
      </x:c>
      <x:c r="B102" s="3" t="str">
        <x:v>D12_I5</x:v>
      </x:c>
      <x:c r="C102" s="3" t="str">
        <x:v>R3</x:v>
      </x:c>
      <x:c r="D102" s="3" t="str">
        <x:v>60分钟切换融合</x:v>
      </x:c>
      <x:c r="E102" s="25" t="n">
        <x:v>109914</x:v>
      </x:c>
      <x:c r="F102" s="15" t="n">
        <x:v>3.2320850905577894</x:v>
      </x:c>
      <x:c r="G102" s="15" t="n">
        <x:v>44.29927733892957</x:v>
      </x:c>
      <x:c r="H102" s="14" t="n">
        <x:v>0.8707165963776884</x:v>
      </x:c>
      <x:c r="I102" s="14" t="n">
        <x:v>0.926167871101784</x:v>
      </x:c>
      <x:c r="J102" s="14" t="n">
        <x:v>0.8962241827507724</x:v>
      </x:c>
    </x:row>
    <x:row r="103" ht="25" customHeight="1">
      <x:c r="A103" s="3" t="str">
        <x:v>D12_I405_N</x:v>
      </x:c>
      <x:c r="B103" s="3" t="str">
        <x:v>D12_I405</x:v>
      </x:c>
      <x:c r="C103" s="3" t="str">
        <x:v>R1</x:v>
      </x:c>
      <x:c r="D103" s="3" t="str">
        <x:v>多跳残差</x:v>
      </x:c>
      <x:c r="E103" s="25" t="n">
        <x:v>46908</x:v>
      </x:c>
      <x:c r="F103" s="15" t="n">
        <x:v>1.4036927899851577</x:v>
      </x:c>
      <x:c r="G103" s="15" t="n">
        <x:v>27.970242513145433</x:v>
      </x:c>
      <x:c r="H103" s="14" t="n">
        <x:v>0.9438522884005937</x:v>
      </x:c>
      <x:c r="I103" s="14" t="n">
        <x:v>0.9533829291447576</x:v>
      </x:c>
      <x:c r="J103" s="14" t="n">
        <x:v>0.9482363831429091</x:v>
      </x:c>
    </x:row>
    <x:row r="104" ht="25" customHeight="1">
      <x:c r="A104" s="3" t="str">
        <x:v>D12_I405_N</x:v>
      </x:c>
      <x:c r="B104" s="3" t="str">
        <x:v>D12_I405</x:v>
      </x:c>
      <x:c r="C104" s="3" t="str">
        <x:v>R2</x:v>
      </x:c>
      <x:c r="D104" s="3" t="str">
        <x:v>多跳残差</x:v>
      </x:c>
      <x:c r="E104" s="25" t="n">
        <x:v>64671</x:v>
      </x:c>
      <x:c r="F104" s="15" t="n">
        <x:v>1.4268958052331264</x:v>
      </x:c>
      <x:c r="G104" s="15" t="n">
        <x:v>28.812921180672447</x:v>
      </x:c>
      <x:c r="H104" s="14" t="n">
        <x:v>0.9429241677906749</x:v>
      </x:c>
      <x:c r="I104" s="14" t="n">
        <x:v>0.9519784646988793</x:v>
      </x:c>
      <x:c r="J104" s="14" t="n">
        <x:v>0.9470891443684489</x:v>
      </x:c>
    </x:row>
    <x:row r="105" ht="25" customHeight="1">
      <x:c r="A105" s="3" t="str">
        <x:v>D12_I405_N</x:v>
      </x:c>
      <x:c r="B105" s="3" t="str">
        <x:v>D12_I405</x:v>
      </x:c>
      <x:c r="C105" s="3" t="str">
        <x:v>R3</x:v>
      </x:c>
      <x:c r="D105" s="3" t="str">
        <x:v>多跳残差</x:v>
      </x:c>
      <x:c r="E105" s="25" t="n">
        <x:v>78157</x:v>
      </x:c>
      <x:c r="F105" s="15" t="n">
        <x:v>1.6562328972078242</x:v>
      </x:c>
      <x:c r="G105" s="15" t="n">
        <x:v>29.90634766741976</x:v>
      </x:c>
      <x:c r="H105" s="14" t="n">
        <x:v>0.933750684111687</x:v>
      </x:c>
      <x:c r="I105" s="14" t="n">
        <x:v>0.9501560872209671</x:v>
      </x:c>
      <x:c r="J105" s="14" t="n">
        <x:v>0.9412971695419559</x:v>
      </x:c>
    </x:row>
    <x:row r="106" ht="25" customHeight="1">
      <x:c r="A106" s="3" t="str">
        <x:v>D12_I405_N</x:v>
      </x:c>
      <x:c r="B106" s="3" t="str">
        <x:v>D12_I405</x:v>
      </x:c>
      <x:c r="C106" s="3" t="str">
        <x:v>R1</x:v>
      </x:c>
      <x:c r="D106" s="3" t="str">
        <x:v>多跳直接</x:v>
      </x:c>
      <x:c r="E106" s="25" t="n">
        <x:v>46908</x:v>
      </x:c>
      <x:c r="F106" s="15" t="n">
        <x:v>1.3296703706052906</x:v>
      </x:c>
      <x:c r="G106" s="15" t="n">
        <x:v>28.081637653082012</x:v>
      </x:c>
      <x:c r="H106" s="14" t="n">
        <x:v>0.9468131851757884</x:v>
      </x:c>
      <x:c r="I106" s="14" t="n">
        <x:v>0.9531972705781967</x:v>
      </x:c>
      <x:c r="J106" s="14" t="n">
        <x:v>0.9497498644608964</x:v>
      </x:c>
    </x:row>
    <x:row r="107" ht="25" customHeight="1">
      <x:c r="A107" s="3" t="str">
        <x:v>D12_I405_N</x:v>
      </x:c>
      <x:c r="B107" s="3" t="str">
        <x:v>D12_I405</x:v>
      </x:c>
      <x:c r="C107" s="3" t="str">
        <x:v>R2</x:v>
      </x:c>
      <x:c r="D107" s="3" t="str">
        <x:v>多跳直接</x:v>
      </x:c>
      <x:c r="E107" s="25" t="n">
        <x:v>64671</x:v>
      </x:c>
      <x:c r="F107" s="15" t="n">
        <x:v>1.3452053551256473</x:v>
      </x:c>
      <x:c r="G107" s="15" t="n">
        <x:v>28.92012627498773</x:v>
      </x:c>
      <x:c r="H107" s="14" t="n">
        <x:v>0.9461917857949741</x:v>
      </x:c>
      <x:c r="I107" s="14" t="n">
        <x:v>0.9517997895416871</x:v>
      </x:c>
      <x:c r="J107" s="14" t="n">
        <x:v>0.9487714675184621</x:v>
      </x:c>
    </x:row>
    <x:row r="108" ht="25" customHeight="1">
      <x:c r="A108" s="3" t="str">
        <x:v>D12_I405_N</x:v>
      </x:c>
      <x:c r="B108" s="3" t="str">
        <x:v>D12_I405</x:v>
      </x:c>
      <x:c r="C108" s="3" t="str">
        <x:v>R3</x:v>
      </x:c>
      <x:c r="D108" s="3" t="str">
        <x:v>多跳直接</x:v>
      </x:c>
      <x:c r="E108" s="25" t="n">
        <x:v>78157</x:v>
      </x:c>
      <x:c r="F108" s="15" t="n">
        <x:v>1.5380977607405888</x:v>
      </x:c>
      <x:c r="G108" s="15" t="n">
        <x:v>29.6984385992275</x:v>
      </x:c>
      <x:c r="H108" s="14" t="n">
        <x:v>0.9384760895703764</x:v>
      </x:c>
      <x:c r="I108" s="14" t="n">
        <x:v>0.9505026023346208</x:v>
      </x:c>
      <x:c r="J108" s="14" t="n">
        <x:v>0.9440082854419289</x:v>
      </x:c>
    </x:row>
    <x:row r="109" ht="25" customHeight="1">
      <x:c r="A109" s="3" t="str">
        <x:v>D12_I405_N</x:v>
      </x:c>
      <x:c r="B109" s="3" t="str">
        <x:v>D12_I405</x:v>
      </x:c>
      <x:c r="C109" s="3" t="str">
        <x:v>R1</x:v>
      </x:c>
      <x:c r="D109" s="3" t="str">
        <x:v>50%等权融合</x:v>
      </x:c>
      <x:c r="E109" s="25" t="n">
        <x:v>46908</x:v>
      </x:c>
      <x:c r="F109" s="15" t="n">
        <x:v>1.3295823275457495</x:v>
      </x:c>
      <x:c r="G109" s="15" t="n">
        <x:v>27.765859911052054</x:v>
      </x:c>
      <x:c r="H109" s="14" t="n">
        <x:v>0.94681670689817</x:v>
      </x:c>
      <x:c r="I109" s="14" t="n">
        <x:v>0.9537235668149132</x:v>
      </x:c>
      <x:c r="J109" s="14" t="n">
        <x:v>0.9499938624598718</x:v>
      </x:c>
    </x:row>
    <x:row r="110" ht="25" customHeight="1">
      <x:c r="A110" s="3" t="str">
        <x:v>D12_I405_N</x:v>
      </x:c>
      <x:c r="B110" s="3" t="str">
        <x:v>D12_I405</x:v>
      </x:c>
      <x:c r="C110" s="3" t="str">
        <x:v>R2</x:v>
      </x:c>
      <x:c r="D110" s="3" t="str">
        <x:v>50%等权融合</x:v>
      </x:c>
      <x:c r="E110" s="25" t="n">
        <x:v>64671</x:v>
      </x:c>
      <x:c r="F110" s="15" t="n">
        <x:v>1.338210768424605</x:v>
      </x:c>
      <x:c r="G110" s="15" t="n">
        <x:v>28.598811406411464</x:v>
      </x:c>
      <x:c r="H110" s="14" t="n">
        <x:v>0.9464715692630158</x:v>
      </x:c>
      <x:c r="I110" s="14" t="n">
        <x:v>0.9523353143226475</x:v>
      </x:c>
      <x:c r="J110" s="14" t="n">
        <x:v>0.9491688919904464</x:v>
      </x:c>
    </x:row>
    <x:row r="111" ht="25" customHeight="1">
      <x:c r="A111" s="3" t="str">
        <x:v>D12_I405_N</x:v>
      </x:c>
      <x:c r="B111" s="3" t="str">
        <x:v>D12_I405</x:v>
      </x:c>
      <x:c r="C111" s="3" t="str">
        <x:v>R3</x:v>
      </x:c>
      <x:c r="D111" s="3" t="str">
        <x:v>50%等权融合</x:v>
      </x:c>
      <x:c r="E111" s="25" t="n">
        <x:v>78157</x:v>
      </x:c>
      <x:c r="F111" s="15" t="n">
        <x:v>1.5458401848163057</x:v>
      </x:c>
      <x:c r="G111" s="15" t="n">
        <x:v>29.5244117247429</x:v>
      </x:c>
      <x:c r="H111" s="14" t="n">
        <x:v>0.9381663926073478</x:v>
      </x:c>
      <x:c r="I111" s="14" t="n">
        <x:v>0.9507926471254285</x:v>
      </x:c>
      <x:c r="J111" s="14" t="n">
        <x:v>0.9439744696856649</x:v>
      </x:c>
    </x:row>
    <x:row r="112" ht="25" customHeight="1">
      <x:c r="A112" s="3" t="str">
        <x:v>D12_I405_N</x:v>
      </x:c>
      <x:c r="B112" s="3" t="str">
        <x:v>D12_I405</x:v>
      </x:c>
      <x:c r="C112" s="3" t="str">
        <x:v>R1</x:v>
      </x:c>
      <x:c r="D112" s="3" t="str">
        <x:v>60分钟切换融合</x:v>
      </x:c>
      <x:c r="E112" s="25" t="n">
        <x:v>46908</x:v>
      </x:c>
      <x:c r="F112" s="15" t="n">
        <x:v>1.3270729150766891</x:v>
      </x:c>
      <x:c r="G112" s="15" t="n">
        <x:v>27.750397304198074</x:v>
      </x:c>
      <x:c r="H112" s="14" t="n">
        <x:v>0.9469170833969325</x:v>
      </x:c>
      <x:c r="I112" s="14" t="n">
        <x:v>0.9537493378263365</x:v>
      </x:c>
      <x:c r="J112" s="14" t="n">
        <x:v>0.9500599204344584</x:v>
      </x:c>
    </x:row>
    <x:row r="113" ht="25" customHeight="1">
      <x:c r="A113" s="3" t="str">
        <x:v>D12_I405_N</x:v>
      </x:c>
      <x:c r="B113" s="3" t="str">
        <x:v>D12_I405</x:v>
      </x:c>
      <x:c r="C113" s="3" t="str">
        <x:v>R2</x:v>
      </x:c>
      <x:c r="D113" s="3" t="str">
        <x:v>60分钟切换融合</x:v>
      </x:c>
      <x:c r="E113" s="25" t="n">
        <x:v>64671</x:v>
      </x:c>
      <x:c r="F113" s="15" t="n">
        <x:v>1.3270139094658098</x:v>
      </x:c>
      <x:c r="G113" s="15" t="n">
        <x:v>28.585859743071126</x:v>
      </x:c>
      <x:c r="H113" s="14" t="n">
        <x:v>0.9469194436213676</x:v>
      </x:c>
      <x:c r="I113" s="14" t="n">
        <x:v>0.9523569004282147</x:v>
      </x:c>
      <x:c r="J113" s="14" t="n">
        <x:v>0.9494206737525173</x:v>
      </x:c>
    </x:row>
    <x:row r="114" ht="25" customHeight="1">
      <x:c r="A114" s="3" t="str">
        <x:v>D12_I405_N</x:v>
      </x:c>
      <x:c r="B114" s="3" t="str">
        <x:v>D12_I405</x:v>
      </x:c>
      <x:c r="C114" s="3" t="str">
        <x:v>R3</x:v>
      </x:c>
      <x:c r="D114" s="3" t="str">
        <x:v>60分钟切换融合</x:v>
      </x:c>
      <x:c r="E114" s="25" t="n">
        <x:v>78157</x:v>
      </x:c>
      <x:c r="F114" s="15" t="n">
        <x:v>1.5609940770750828</x:v>
      </x:c>
      <x:c r="G114" s="15" t="n">
        <x:v>29.399328299761706</x:v>
      </x:c>
      <x:c r="H114" s="14" t="n">
        <x:v>0.9375602369169966</x:v>
      </x:c>
      <x:c r="I114" s="14" t="n">
        <x:v>0.9510011195003971</x:v>
      </x:c>
      <x:c r="J114" s="14" t="n">
        <x:v>0.9437430429053609</x:v>
      </x:c>
    </x:row>
    <x:row r="115" ht="25" customHeight="1">
      <x:c r="A115" s="3" t="str">
        <x:v>D12_I405_S</x:v>
      </x:c>
      <x:c r="B115" s="3" t="str">
        <x:v>D12_I405</x:v>
      </x:c>
      <x:c r="C115" s="3" t="str">
        <x:v>R1</x:v>
      </x:c>
      <x:c r="D115" s="3" t="str">
        <x:v>多跳残差</x:v>
      </x:c>
      <x:c r="E115" s="25" t="n">
        <x:v>11617</x:v>
      </x:c>
      <x:c r="F115" s="15" t="n">
        <x:v>1.8232111444465622</x:v>
      </x:c>
      <x:c r="G115" s="15" t="n">
        <x:v>46.45470524789989</x:v>
      </x:c>
      <x:c r="H115" s="14" t="n">
        <x:v>0.9270715542221375</x:v>
      </x:c>
      <x:c r="I115" s="14" t="n">
        <x:v>0.9225754912535002</x:v>
      </x:c>
      <x:c r="J115" s="14" t="n">
        <x:v>0.9250033652565645</x:v>
      </x:c>
    </x:row>
    <x:row r="116" ht="25" customHeight="1">
      <x:c r="A116" s="3" t="str">
        <x:v>D12_I405_S</x:v>
      </x:c>
      <x:c r="B116" s="3" t="str">
        <x:v>D12_I405</x:v>
      </x:c>
      <x:c r="C116" s="3" t="str">
        <x:v>R2</x:v>
      </x:c>
      <x:c r="D116" s="3" t="str">
        <x:v>多跳残差</x:v>
      </x:c>
      <x:c r="E116" s="25" t="n">
        <x:v>34811</x:v>
      </x:c>
      <x:c r="F116" s="15" t="n">
        <x:v>1.8031800325444634</x:v>
      </x:c>
      <x:c r="G116" s="15" t="n">
        <x:v>45.16298187711637</x:v>
      </x:c>
      <x:c r="H116" s="14" t="n">
        <x:v>0.9278727986982215</x:v>
      </x:c>
      <x:c r="I116" s="14" t="n">
        <x:v>0.9247283635381394</x:v>
      </x:c>
      <x:c r="J116" s="14" t="n">
        <x:v>0.9264263585245838</x:v>
      </x:c>
    </x:row>
    <x:row r="117" ht="25" customHeight="1">
      <x:c r="A117" s="3" t="str">
        <x:v>D12_I405_S</x:v>
      </x:c>
      <x:c r="B117" s="3" t="str">
        <x:v>D12_I405</x:v>
      </x:c>
      <x:c r="C117" s="3" t="str">
        <x:v>R3</x:v>
      </x:c>
      <x:c r="D117" s="3" t="str">
        <x:v>多跳残差</x:v>
      </x:c>
      <x:c r="E117" s="25" t="n">
        <x:v>62926</x:v>
      </x:c>
      <x:c r="F117" s="15" t="n">
        <x:v>2.1947320952651492</x:v>
      </x:c>
      <x:c r="G117" s="15" t="n">
        <x:v>48.3325792553991</x:v>
      </x:c>
      <x:c r="H117" s="14" t="n">
        <x:v>0.912210716189394</x:v>
      </x:c>
      <x:c r="I117" s="14" t="n">
        <x:v>0.9194457012410016</x:v>
      </x:c>
      <x:c r="J117" s="14" t="n">
        <x:v>0.9155388093131336</x:v>
      </x:c>
    </x:row>
    <x:row r="118" ht="25" customHeight="1">
      <x:c r="A118" s="3" t="str">
        <x:v>D12_I405_S</x:v>
      </x:c>
      <x:c r="B118" s="3" t="str">
        <x:v>D12_I405</x:v>
      </x:c>
      <x:c r="C118" s="3" t="str">
        <x:v>R1</x:v>
      </x:c>
      <x:c r="D118" s="3" t="str">
        <x:v>多跳直接</x:v>
      </x:c>
      <x:c r="E118" s="25" t="n">
        <x:v>11617</x:v>
      </x:c>
      <x:c r="F118" s="15" t="n">
        <x:v>1.807289036832348</x:v>
      </x:c>
      <x:c r="G118" s="15" t="n">
        <x:v>45.93855811606601</x:v>
      </x:c>
      <x:c r="H118" s="14" t="n">
        <x:v>0.927708438526706</x:v>
      </x:c>
      <x:c r="I118" s="14" t="n">
        <x:v>0.9234357364732233</x:v>
      </x:c>
      <x:c r="J118" s="14" t="n">
        <x:v>0.9257429955821039</x:v>
      </x:c>
    </x:row>
    <x:row r="119" ht="25" customHeight="1">
      <x:c r="A119" s="3" t="str">
        <x:v>D12_I405_S</x:v>
      </x:c>
      <x:c r="B119" s="3" t="str">
        <x:v>D12_I405</x:v>
      </x:c>
      <x:c r="C119" s="3" t="str">
        <x:v>R2</x:v>
      </x:c>
      <x:c r="D119" s="3" t="str">
        <x:v>多跳直接</x:v>
      </x:c>
      <x:c r="E119" s="25" t="n">
        <x:v>34811</x:v>
      </x:c>
      <x:c r="F119" s="15" t="n">
        <x:v>1.7446853359205363</x:v>
      </x:c>
      <x:c r="G119" s="15" t="n">
        <x:v>45.102820495745554</x:v>
      </x:c>
      <x:c r="H119" s="14" t="n">
        <x:v>0.9302125865631785</x:v>
      </x:c>
      <x:c r="I119" s="14" t="n">
        <x:v>0.9248286325070907</x:v>
      </x:c>
      <x:c r="J119" s="14" t="n">
        <x:v>0.9277359676973781</x:v>
      </x:c>
    </x:row>
    <x:row r="120" ht="25" customHeight="1">
      <x:c r="A120" s="3" t="str">
        <x:v>D12_I405_S</x:v>
      </x:c>
      <x:c r="B120" s="3" t="str">
        <x:v>D12_I405</x:v>
      </x:c>
      <x:c r="C120" s="3" t="str">
        <x:v>R3</x:v>
      </x:c>
      <x:c r="D120" s="3" t="str">
        <x:v>多跳直接</x:v>
      </x:c>
      <x:c r="E120" s="25" t="n">
        <x:v>62926</x:v>
      </x:c>
      <x:c r="F120" s="15" t="n">
        <x:v>2.1766345505084796</x:v>
      </x:c>
      <x:c r="G120" s="15" t="n">
        <x:v>47.96705883401753</x:v>
      </x:c>
      <x:c r="H120" s="14" t="n">
        <x:v>0.9129346179796608</x:v>
      </x:c>
      <x:c r="I120" s="14" t="n">
        <x:v>0.9200549019433041</x:v>
      </x:c>
      <x:c r="J120" s="14" t="n">
        <x:v>0.9162099486029367</x:v>
      </x:c>
    </x:row>
    <x:row r="121" ht="25" customHeight="1">
      <x:c r="A121" s="3" t="str">
        <x:v>D12_I405_S</x:v>
      </x:c>
      <x:c r="B121" s="3" t="str">
        <x:v>D12_I405</x:v>
      </x:c>
      <x:c r="C121" s="3" t="str">
        <x:v>R1</x:v>
      </x:c>
      <x:c r="D121" s="3" t="str">
        <x:v>50%等权融合</x:v>
      </x:c>
      <x:c r="E121" s="25" t="n">
        <x:v>11617</x:v>
      </x:c>
      <x:c r="F121" s="15" t="n">
        <x:v>1.786651216243924</x:v>
      </x:c>
      <x:c r="G121" s="15" t="n">
        <x:v>46.013786366437515</x:v>
      </x:c>
      <x:c r="H121" s="14" t="n">
        <x:v>0.9285339513502431</x:v>
      </x:c>
      <x:c r="I121" s="14" t="n">
        <x:v>0.9233103560559375</x:v>
      </x:c>
      <x:c r="J121" s="14" t="n">
        <x:v>0.9261310975148626</x:v>
      </x:c>
    </x:row>
    <x:row r="122" ht="25" customHeight="1">
      <x:c r="A122" s="3" t="str">
        <x:v>D12_I405_S</x:v>
      </x:c>
      <x:c r="B122" s="3" t="str">
        <x:v>D12_I405</x:v>
      </x:c>
      <x:c r="C122" s="3" t="str">
        <x:v>R2</x:v>
      </x:c>
      <x:c r="D122" s="3" t="str">
        <x:v>50%等权融合</x:v>
      </x:c>
      <x:c r="E122" s="25" t="n">
        <x:v>34811</x:v>
      </x:c>
      <x:c r="F122" s="15" t="n">
        <x:v>1.7556120496416006</x:v>
      </x:c>
      <x:c r="G122" s="15" t="n">
        <x:v>44.94990794990197</x:v>
      </x:c>
      <x:c r="H122" s="14" t="n">
        <x:v>0.929775518014336</x:v>
      </x:c>
      <x:c r="I122" s="14" t="n">
        <x:v>0.9250834867501634</x:v>
      </x:c>
      <x:c r="J122" s="14" t="n">
        <x:v>0.9276171836328166</x:v>
      </x:c>
    </x:row>
    <x:row r="123" ht="25" customHeight="1">
      <x:c r="A123" s="3" t="str">
        <x:v>D12_I405_S</x:v>
      </x:c>
      <x:c r="B123" s="3" t="str">
        <x:v>D12_I405</x:v>
      </x:c>
      <x:c r="C123" s="3" t="str">
        <x:v>R3</x:v>
      </x:c>
      <x:c r="D123" s="3" t="str">
        <x:v>50%等权融合</x:v>
      </x:c>
      <x:c r="E123" s="25" t="n">
        <x:v>62926</x:v>
      </x:c>
      <x:c r="F123" s="15" t="n">
        <x:v>2.145854093016067</x:v>
      </x:c>
      <x:c r="G123" s="15" t="n">
        <x:v>47.89921651807352</x:v>
      </x:c>
      <x:c r="H123" s="14" t="n">
        <x:v>0.9141658362793573</x:v>
      </x:c>
      <x:c r="I123" s="14" t="n">
        <x:v>0.9201679724698775</x:v>
      </x:c>
      <x:c r="J123" s="14" t="n">
        <x:v>0.9169268189269967</x:v>
      </x:c>
    </x:row>
    <x:row r="124" ht="25" customHeight="1">
      <x:c r="A124" s="3" t="str">
        <x:v>D12_I405_S</x:v>
      </x:c>
      <x:c r="B124" s="3" t="str">
        <x:v>D12_I405</x:v>
      </x:c>
      <x:c r="C124" s="3" t="str">
        <x:v>R1</x:v>
      </x:c>
      <x:c r="D124" s="3" t="str">
        <x:v>60分钟切换融合</x:v>
      </x:c>
      <x:c r="E124" s="25" t="n">
        <x:v>11617</x:v>
      </x:c>
      <x:c r="F124" s="15" t="n">
        <x:v>1.786485613129626</x:v>
      </x:c>
      <x:c r="G124" s="15" t="n">
        <x:v>45.92336622684963</x:v>
      </x:c>
      <x:c r="H124" s="14" t="n">
        <x:v>0.9285405754748149</x:v>
      </x:c>
      <x:c r="I124" s="14" t="n">
        <x:v>0.923461056288584</x:v>
      </x:c>
      <x:c r="J124" s="14" t="n">
        <x:v>0.9262039966491488</x:v>
      </x:c>
    </x:row>
    <x:row r="125" ht="25" customHeight="1">
      <x:c r="A125" s="3" t="str">
        <x:v>D12_I405_S</x:v>
      </x:c>
      <x:c r="B125" s="3" t="str">
        <x:v>D12_I405</x:v>
      </x:c>
      <x:c r="C125" s="3" t="str">
        <x:v>R2</x:v>
      </x:c>
      <x:c r="D125" s="3" t="str">
        <x:v>60分钟切换融合</x:v>
      </x:c>
      <x:c r="E125" s="25" t="n">
        <x:v>34811</x:v>
      </x:c>
      <x:c r="F125" s="15" t="n">
        <x:v>1.7559013584241392</x:v>
      </x:c>
      <x:c r="G125" s="15" t="n">
        <x:v>44.94472574127353</x:v>
      </x:c>
      <x:c r="H125" s="14" t="n">
        <x:v>0.9297639456630344</x:v>
      </x:c>
      <x:c r="I125" s="14" t="n">
        <x:v>0.9250921237645441</x:v>
      </x:c>
      <x:c r="J125" s="14" t="n">
        <x:v>0.9276149075897289</x:v>
      </x:c>
    </x:row>
    <x:row r="126" ht="25" customHeight="1">
      <x:c r="A126" s="3" t="str">
        <x:v>D12_I405_S</x:v>
      </x:c>
      <x:c r="B126" s="3" t="str">
        <x:v>D12_I405</x:v>
      </x:c>
      <x:c r="C126" s="3" t="str">
        <x:v>R3</x:v>
      </x:c>
      <x:c r="D126" s="3" t="str">
        <x:v>60分钟切换融合</x:v>
      </x:c>
      <x:c r="E126" s="25" t="n">
        <x:v>62926</x:v>
      </x:c>
      <x:c r="F126" s="15" t="n">
        <x:v>2.1521101672519025</x:v>
      </x:c>
      <x:c r="G126" s="15" t="n">
        <x:v>47.829527173731094</x:v>
      </x:c>
      <x:c r="H126" s="14" t="n">
        <x:v>0.9139155933099239</x:v>
      </x:c>
      <x:c r="I126" s="14" t="n">
        <x:v>0.9202841213771149</x:v>
      </x:c>
      <x:c r="J126" s="14" t="n">
        <x:v>0.9168451162208318</x:v>
      </x:c>
    </x:row>
  </x:sheetData>
  <x:pageMargins left="0.7" right="0.7" top="0.75" bottom="0.75" header="0.3" footer="0.3"/>
  <x:tableParts count="1">
    <x:tablePart xmlns:r="http://schemas.openxmlformats.org/officeDocument/2006/relationships" r:id="R8ea8f1e5ce9843f6"/>
  </x:tableParts>
</x:worksheet>
</file>